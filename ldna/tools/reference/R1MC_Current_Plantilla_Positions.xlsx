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0a7cc09c2749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rrent R1MC" sheetId="1" r:id="Rf8f08e83a9ef4df5"/>
    <x:sheet xmlns:r="http://schemas.openxmlformats.org/officeDocument/2006/relationships" name="SG Reference" sheetId="2" r:id="Rf16ac964826543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0"/>
      <x:color rgb="FF243247"/>
      <x:name val="Arial"/>
    </x:font>
    <x:font>
      <x:b/>
      <x:sz val="15"/>
      <x:color rgb="FF24324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4568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color rgb="FF835500"/>
      </x:font>
      <x:fill>
        <x:patternFill patternType="solid">
          <x:bgColor rgb="FFFFF0CC"/>
        </x:patternFill>
      </x:fill>
    </x:dxf>
    <x:dxf>
      <x:font>
        <x:b/>
        <x:color rgb="FF9B2525"/>
      </x:font>
      <x:fill>
        <x:patternFill patternType="solid">
          <x:bgColor rgb="FFFBE0DE"/>
        </x:patternFill>
      </x:fill>
    </x:dxf>
    <x:dxf>
      <x:font>
        <x:color rgb="FF835500"/>
      </x:font>
      <x:fill>
        <x:patternFill patternType="solid">
          <x:bgColor rgb="FFFFF0CC"/>
        </x:patternFill>
      </x:fill>
    </x:dxf>
    <x:dxf>
      <x:font>
        <x:b/>
        <x:color rgb="FF9B2525"/>
      </x:font>
      <x:fill>
        <x:patternFill patternType="solid">
          <x:bgColor rgb="FFFBE0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6c1eb6390d405d" /><Relationship Type="http://schemas.openxmlformats.org/officeDocument/2006/relationships/theme" Target="/xl/theme/theme1.xml" Id="Rb15d2207aefd49b5" /><Relationship Type="http://schemas.openxmlformats.org/officeDocument/2006/relationships/sharedStrings" Target="/xl/sharedStrings.xml" Id="Raff568b40ea248b4" /><Relationship Type="http://schemas.openxmlformats.org/officeDocument/2006/relationships/worksheet" Target="/xl/worksheets/sheet1.xml" Id="Rf8f08e83a9ef4df5" /><Relationship Type="http://schemas.openxmlformats.org/officeDocument/2006/relationships/worksheet" Target="/xl/worksheets/sheet2.xml" Id="Rf16ac964826543cf" /></Relationships>
</file>

<file path=xl/tables/table1.xml><?xml version="1.0" encoding="utf-8"?>
<x:table xmlns:x="http://schemas.openxmlformats.org/spreadsheetml/2006/main" id="1" name="CurrentPositions" displayName="CurrentPositions" ref="A8:E147" headerRowCount="1" totalsRowCount="0" totalsRowShown="0">
  <x:tableColumns count="5">
    <x:tableColumn id="1" name="Current position title"/>
    <x:tableColumn id="2" name="Salary grade"/>
    <x:tableColumn id="3" name="SG match status"/>
    <x:tableColumn id="4" name="Matched reference title"/>
    <x:tableColumn id="5" name="Source row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alaryReference" displayName="SalaryReference" ref="A8:F149" headerRowCount="1" totalsRowCount="0" totalsRowShown="0">
  <x:tableColumns count="6">
    <x:tableColumn id="1" name="Reference position title"/>
    <x:tableColumn id="2" name="Reference SG"/>
    <x:tableColumn id="3" name="Current list status"/>
    <x:tableColumn id="4" name="Source reference"/>
    <x:tableColumn id="5" name="Reference notes"/>
    <x:tableColumn id="6" name="Official 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240ca8d709548b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f360d3e6acd4f47" /></Relationships>
</file>

<file path=xl/worksheets/sheet1.xml><?xml version="1.0" encoding="utf-8"?>
<x:worksheet xmlns:x="http://schemas.openxmlformats.org/spreadsheetml/2006/main">
  <x:sheetPr>
    <x:tabColor rgb="FF254568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62" hidden="0" customWidth="1"/>
    <x:col min="2" max="2" width="13" hidden="0" customWidth="1"/>
    <x:col min="3" max="3" width="27" hidden="0" customWidth="1"/>
    <x:col min="4" max="4" width="60" hidden="0" customWidth="1"/>
    <x:col min="5" max="5" width="12" hidden="0" customWidth="1"/>
  </x:cols>
  <x:sheetData>
    <x:row r="1">
      <x:c r="A1" s="1"/>
      <x:c r="B1" s="1"/>
      <x:c r="C1" s="1"/>
      <x:c r="D1" s="1"/>
      <x:c r="E1" s="1"/>
    </x:row>
    <x:row r="2">
      <x:c r="A2" s="2" t="str">
        <x:v>R1MC current plantilla positions — 22 September 2026</x:v>
      </x:c>
      <x:c r="B2" s="1"/>
      <x:c r="C2" s="1"/>
      <x:c r="D2" s="1"/>
      <x:c r="E2" s="1"/>
    </x:row>
    <x:row r="3">
      <x:c r="A3" s="1" t="str">
        <x:v>Current titles</x:v>
      </x:c>
      <x:c r="B3" s="1" t="n">
        <x:f>COUNTA(A9:A147)</x:f>
        <x:v>139</x:v>
      </x:c>
      <x:c r="C3" s="1"/>
      <x:c r="D3" s="1" t="str">
        <x:v>SG Reference: filter Current list status for missing titles.</x:v>
      </x:c>
      <x:c r="E3" s="1"/>
    </x:row>
    <x:row r="4">
      <x:c r="A4" s="1" t="str">
        <x:v>Titles with numeric SG</x:v>
      </x:c>
      <x:c r="B4" s="1" t="n">
        <x:f>COUNT(B9:B147)</x:f>
        <x:v>138</x:v>
      </x:c>
      <x:c r="C4" s="1"/>
      <x:c r="D4" s="1" t="str">
        <x:v>Title variations are flagged; original R1MC titles are retained.</x:v>
      </x:c>
      <x:c r="E4" s="1"/>
    </x:row>
    <x:row r="5">
      <x:c r="A5" s="1" t="str">
        <x:v>Titles without numeric SG</x:v>
      </x:c>
      <x:c r="B5" s="1" t="n">
        <x:f>B3-B4</x:f>
        <x:v>1</x:v>
      </x:c>
      <x:c r="C5" s="1"/>
      <x:c r="D5" s="1" t="str">
        <x:v>Blank SG means unresolved. Filter SG match status for review.</x:v>
      </x:c>
      <x:c r="E5" s="1"/>
    </x:row>
    <x:row r="6">
      <x:c r="A6" s="1"/>
      <x:c r="B6" s="1"/>
      <x:c r="C6" s="1"/>
      <x:c r="D6" s="1" t="str">
        <x:v>Comparison covers title lists, not staffing quantities or vacancies.</x:v>
      </x:c>
      <x:c r="E6" s="1"/>
    </x:row>
    <x:row r="7">
      <x:c r="A7" s="1"/>
      <x:c r="B7" s="1"/>
      <x:c r="C7" s="1"/>
      <x:c r="D7" s="1"/>
      <x:c r="E7" s="1"/>
    </x:row>
    <x:row r="8" ht="32" customHeight="1">
      <x:c r="A8" s="6" t="str">
        <x:v>Current position title</x:v>
      </x:c>
      <x:c r="B8" s="6" t="str">
        <x:v>Salary grade</x:v>
      </x:c>
      <x:c r="C8" s="6" t="str">
        <x:v>SG match status</x:v>
      </x:c>
      <x:c r="D8" s="6" t="str">
        <x:v>Matched reference title</x:v>
      </x:c>
      <x:c r="E8" s="6" t="str">
        <x:v>Source row</x:v>
      </x:c>
    </x:row>
    <x:row r="9" ht="30" customHeight="1">
      <x:c r="A9" s="8" t="str">
        <x:v>ACCOUNTANT I</x:v>
      </x:c>
      <x:c r="B9" s="9" t="n">
        <x:f>IF(ISNUMBER('SG Reference'!B9),'SG Reference'!B9,"")</x:f>
        <x:v>12</x:v>
      </x:c>
      <x:c r="C9" s="8" t="str">
        <x:v>Exact title</x:v>
      </x:c>
      <x:c r="D9" s="8" t="str">
        <x:v>ACCOUNTANT I</x:v>
      </x:c>
      <x:c r="E9" s="8" t="n">
        <x:v>93</x:v>
      </x:c>
    </x:row>
    <x:row r="10" ht="30" customHeight="1">
      <x:c r="A10" s="8" t="str">
        <x:v>ACCOUNTANT II</x:v>
      </x:c>
      <x:c r="B10" s="9" t="n">
        <x:f>IF(ISNUMBER('SG Reference'!B10),'SG Reference'!B10,"")</x:f>
        <x:v>16</x:v>
      </x:c>
      <x:c r="C10" s="8" t="str">
        <x:v>Exact title</x:v>
      </x:c>
      <x:c r="D10" s="8" t="str">
        <x:v>ACCOUNTANT II</x:v>
      </x:c>
      <x:c r="E10" s="8" t="n">
        <x:v>94</x:v>
      </x:c>
    </x:row>
    <x:row r="11" ht="30" customHeight="1">
      <x:c r="A11" s="8" t="str">
        <x:v>ACCOUNTANT III</x:v>
      </x:c>
      <x:c r="B11" s="9" t="n">
        <x:f>IF(ISNUMBER('SG Reference'!B11),'SG Reference'!B11,"")</x:f>
        <x:v>19</x:v>
      </x:c>
      <x:c r="C11" s="8" t="str">
        <x:v>Exact title</x:v>
      </x:c>
      <x:c r="D11" s="8" t="str">
        <x:v>ACCOUNTANT III</x:v>
      </x:c>
      <x:c r="E11" s="8" t="n">
        <x:v>95</x:v>
      </x:c>
    </x:row>
    <x:row r="12" ht="30" customHeight="1">
      <x:c r="A12" s="8" t="str">
        <x:v>ACCOUNTANT IV</x:v>
      </x:c>
      <x:c r="B12" s="9" t="n">
        <x:f>IF(ISNUMBER('SG Reference'!B12),'SG Reference'!B12,"")</x:f>
        <x:v>22</x:v>
      </x:c>
      <x:c r="C12" s="8" t="str">
        <x:v>Exact title</x:v>
      </x:c>
      <x:c r="D12" s="8" t="str">
        <x:v>ACCOUNTANT IV</x:v>
      </x:c>
      <x:c r="E12" s="8" t="n">
        <x:v>96</x:v>
      </x:c>
    </x:row>
    <x:row r="13" ht="30" customHeight="1">
      <x:c r="A13" s="8" t="str">
        <x:v>ADMINISTRATIVE AIDE I</x:v>
      </x:c>
      <x:c r="B13" s="9" t="n">
        <x:f>IF(ISNUMBER('SG Reference'!B13),'SG Reference'!B13,"")</x:f>
        <x:v>1</x:v>
      </x:c>
      <x:c r="C13" s="8" t="str">
        <x:v>Exact title</x:v>
      </x:c>
      <x:c r="D13" s="8" t="str">
        <x:v>ADMINISTRATIVE AIDE I</x:v>
      </x:c>
      <x:c r="E13" s="8" t="n">
        <x:v>97</x:v>
      </x:c>
    </x:row>
    <x:row r="14" ht="30" customHeight="1">
      <x:c r="A14" s="8" t="str">
        <x:v>ADMINISTRATIVE AIDE I (UTILITY WORKER I)</x:v>
      </x:c>
      <x:c r="B14" s="9" t="n">
        <x:f>IF(ISNUMBER('SG Reference'!B14),'SG Reference'!B14,"")</x:f>
        <x:v>1</x:v>
      </x:c>
      <x:c r="C14" s="8" t="str">
        <x:v>Exact title</x:v>
      </x:c>
      <x:c r="D14" s="8" t="str">
        <x:v>ADMINISTRATIVE AIDE I (UTILITY WORKER I)</x:v>
      </x:c>
      <x:c r="E14" s="8" t="n">
        <x:v>98</x:v>
      </x:c>
    </x:row>
    <x:row r="15" ht="30" customHeight="1">
      <x:c r="A15" s="8" t="str">
        <x:v>ADMINISTRATIVE AIDE II (CONSTRUCTION AND MAINTENANCE MAN)</x:v>
      </x:c>
      <x:c r="B15" s="9" t="n">
        <x:f>IF(ISNUMBER('SG Reference'!B15),'SG Reference'!B15,"")</x:f>
        <x:v>2</x:v>
      </x:c>
      <x:c r="C15" s="8" t="str">
        <x:v>Exact title</x:v>
      </x:c>
      <x:c r="D15" s="8" t="str">
        <x:v>ADMINISTRATIVE AIDE II (CONSTRUCTION AND MAINTENANCE MAN)</x:v>
      </x:c>
      <x:c r="E15" s="8" t="n">
        <x:v>99</x:v>
      </x:c>
    </x:row>
    <x:row r="16" ht="30" customHeight="1">
      <x:c r="A16" s="8" t="str">
        <x:v>ADMINISTRATIVE AIDE III</x:v>
      </x:c>
      <x:c r="B16" s="9" t="n">
        <x:f>IF(ISNUMBER('SG Reference'!B16),'SG Reference'!B16,"")</x:f>
        <x:v>3</x:v>
      </x:c>
      <x:c r="C16" s="8" t="str">
        <x:v>Exact title</x:v>
      </x:c>
      <x:c r="D16" s="8" t="str">
        <x:v>ADMINISTRATIVE AIDE III</x:v>
      </x:c>
      <x:c r="E16" s="8" t="n">
        <x:v>100</x:v>
      </x:c>
    </x:row>
    <x:row r="17" ht="30" customHeight="1">
      <x:c r="A17" s="8" t="str">
        <x:v>ADMINISTRATIVE AIDE III (UTILITY WORKER II)</x:v>
      </x:c>
      <x:c r="B17" s="9" t="n">
        <x:f>IF(ISNUMBER('SG Reference'!B17),'SG Reference'!B17,"")</x:f>
        <x:v>3</x:v>
      </x:c>
      <x:c r="C17" s="8" t="str">
        <x:v>Exact title</x:v>
      </x:c>
      <x:c r="D17" s="8" t="str">
        <x:v>ADMINISTRATIVE AIDE III (UTILITY WORKER II)</x:v>
      </x:c>
      <x:c r="E17" s="8" t="n">
        <x:v>101</x:v>
      </x:c>
    </x:row>
    <x:row r="18" ht="30" customHeight="1">
      <x:c r="A18" s="8" t="str">
        <x:v>ADMINISTRATIVE AIDE IV</x:v>
      </x:c>
      <x:c r="B18" s="9" t="n">
        <x:f>IF(ISNUMBER('SG Reference'!B18),'SG Reference'!B18,"")</x:f>
        <x:v>4</x:v>
      </x:c>
      <x:c r="C18" s="8" t="str">
        <x:v>Exact title</x:v>
      </x:c>
      <x:c r="D18" s="8" t="str">
        <x:v>ADMINISTRATIVE AIDE IV</x:v>
      </x:c>
      <x:c r="E18" s="8" t="n">
        <x:v>102</x:v>
      </x:c>
    </x:row>
    <x:row r="19" ht="30" customHeight="1">
      <x:c r="A19" s="8" t="str">
        <x:v>ADMINISTRATIVE AIDE V</x:v>
      </x:c>
      <x:c r="B19" s="9" t="n">
        <x:f>IF(ISNUMBER('SG Reference'!B19),'SG Reference'!B19,"")</x:f>
        <x:v>5</x:v>
      </x:c>
      <x:c r="C19" s="8" t="str">
        <x:v>Exact title</x:v>
      </x:c>
      <x:c r="D19" s="8" t="str">
        <x:v>ADMINISTRATIVE AIDE V</x:v>
      </x:c>
      <x:c r="E19" s="8" t="n">
        <x:v>103</x:v>
      </x:c>
    </x:row>
    <x:row r="20" ht="30" customHeight="1">
      <x:c r="A20" s="8" t="str">
        <x:v>ADMINISTRATIVE AIDE V (AUDIO-VISUAL ASSISTANT)</x:v>
      </x:c>
      <x:c r="B20" s="9" t="n">
        <x:f>IF(ISNUMBER('SG Reference'!B20),'SG Reference'!B20,"")</x:f>
        <x:v>5</x:v>
      </x:c>
      <x:c r="C20" s="8" t="str">
        <x:v>Exact title</x:v>
      </x:c>
      <x:c r="D20" s="8" t="str">
        <x:v>ADMINISTRATIVE AIDE V (AUDIO-VISUAL ASSISTANT)</x:v>
      </x:c>
      <x:c r="E20" s="8" t="n">
        <x:v>104</x:v>
      </x:c>
    </x:row>
    <x:row r="21" ht="30" customHeight="1">
      <x:c r="A21" s="8" t="str">
        <x:v>ADMINISTRATIVE AIDE VI</x:v>
      </x:c>
      <x:c r="B21" s="9" t="n">
        <x:f>IF(ISNUMBER('SG Reference'!B21),'SG Reference'!B21,"")</x:f>
        <x:v>6</x:v>
      </x:c>
      <x:c r="C21" s="8" t="str">
        <x:v>Exact title</x:v>
      </x:c>
      <x:c r="D21" s="8" t="str">
        <x:v>ADMINISTRATIVE AIDE VI</x:v>
      </x:c>
      <x:c r="E21" s="8" t="n">
        <x:v>105</x:v>
      </x:c>
    </x:row>
    <x:row r="22" ht="30" customHeight="1">
      <x:c r="A22" s="8" t="str">
        <x:v>ADMINISTRATIVE AIDE VI (UTILITY FOREMAN)</x:v>
      </x:c>
      <x:c r="B22" s="9" t="n">
        <x:f>IF(ISNUMBER('SG Reference'!B22),'SG Reference'!B22,"")</x:f>
        <x:v>6</x:v>
      </x:c>
      <x:c r="C22" s="8" t="str">
        <x:v>Exact title</x:v>
      </x:c>
      <x:c r="D22" s="8" t="str">
        <x:v>ADMINISTRATIVE AIDE VI (UTILITY FOREMAN)</x:v>
      </x:c>
      <x:c r="E22" s="8" t="n">
        <x:v>106</x:v>
      </x:c>
    </x:row>
    <x:row r="23" ht="30" customHeight="1">
      <x:c r="A23" s="8" t="str">
        <x:v>ADMINISTRATIVE ASSISTANT I</x:v>
      </x:c>
      <x:c r="B23" s="9" t="n">
        <x:f>IF(ISNUMBER('SG Reference'!B23),'SG Reference'!B23,"")</x:f>
        <x:v>7</x:v>
      </x:c>
      <x:c r="C23" s="8" t="str">
        <x:v>Exact title</x:v>
      </x:c>
      <x:c r="D23" s="8" t="str">
        <x:v>ADMINISTRATIVE ASSISTANT I</x:v>
      </x:c>
      <x:c r="E23" s="8" t="n">
        <x:v>107</x:v>
      </x:c>
    </x:row>
    <x:row r="24" ht="30" customHeight="1">
      <x:c r="A24" s="8" t="str">
        <x:v>ADMINISTRATIVE ASSISTANT II</x:v>
      </x:c>
      <x:c r="B24" s="9" t="n">
        <x:f>IF(ISNUMBER('SG Reference'!B24),'SG Reference'!B24,"")</x:f>
        <x:v>8</x:v>
      </x:c>
      <x:c r="C24" s="8" t="str">
        <x:v>Exact title</x:v>
      </x:c>
      <x:c r="D24" s="8" t="str">
        <x:v>ADMINISTRATIVE ASSISTANT II</x:v>
      </x:c>
      <x:c r="E24" s="8" t="n">
        <x:v>108</x:v>
      </x:c>
    </x:row>
    <x:row r="25" ht="30" customHeight="1">
      <x:c r="A25" s="8" t="str">
        <x:v>ADMINISTRATIVE ASSISTANT III</x:v>
      </x:c>
      <x:c r="B25" s="9" t="n">
        <x:f>IF(ISNUMBER('SG Reference'!B25),'SG Reference'!B25,"")</x:f>
        <x:v>9</x:v>
      </x:c>
      <x:c r="C25" s="8" t="str">
        <x:v>Exact title</x:v>
      </x:c>
      <x:c r="D25" s="8" t="str">
        <x:v>ADMINISTRATIVE ASSISTANT III</x:v>
      </x:c>
      <x:c r="E25" s="8" t="n">
        <x:v>109</x:v>
      </x:c>
    </x:row>
    <x:row r="26" ht="30" customHeight="1">
      <x:c r="A26" s="8" t="str">
        <x:v>ADMINISTRATIVE OFFICER I</x:v>
      </x:c>
      <x:c r="B26" s="9" t="n">
        <x:f>IF(ISNUMBER('SG Reference'!B26),'SG Reference'!B26,"")</x:f>
        <x:v>10</x:v>
      </x:c>
      <x:c r="C26" s="8" t="str">
        <x:v>Exact title</x:v>
      </x:c>
      <x:c r="D26" s="8" t="str">
        <x:v>ADMINISTRATIVE OFFICER I</x:v>
      </x:c>
      <x:c r="E26" s="8" t="n">
        <x:v>110</x:v>
      </x:c>
    </x:row>
    <x:row r="27" ht="30" customHeight="1">
      <x:c r="A27" s="8" t="str">
        <x:v>ADMINISTRATIVE OFFICER II</x:v>
      </x:c>
      <x:c r="B27" s="9" t="n">
        <x:f>IF(ISNUMBER('SG Reference'!B27),'SG Reference'!B27,"")</x:f>
        <x:v>11</x:v>
      </x:c>
      <x:c r="C27" s="8" t="str">
        <x:v>Exact title</x:v>
      </x:c>
      <x:c r="D27" s="8" t="str">
        <x:v>ADMINISTRATIVE OFFICER II</x:v>
      </x:c>
      <x:c r="E27" s="8" t="n">
        <x:v>111</x:v>
      </x:c>
    </x:row>
    <x:row r="28" ht="30" customHeight="1">
      <x:c r="A28" s="8" t="str">
        <x:v>ADMINISTRATIVE OFFICER III</x:v>
      </x:c>
      <x:c r="B28" s="9" t="n">
        <x:f>IF(ISNUMBER('SG Reference'!B28),'SG Reference'!B28,"")</x:f>
        <x:v>14</x:v>
      </x:c>
      <x:c r="C28" s="8" t="str">
        <x:v>Exact title</x:v>
      </x:c>
      <x:c r="D28" s="8" t="str">
        <x:v>ADMINISTRATIVE OFFICER III</x:v>
      </x:c>
      <x:c r="E28" s="8" t="n">
        <x:v>112</x:v>
      </x:c>
    </x:row>
    <x:row r="29" ht="30" customHeight="1">
      <x:c r="A29" s="8" t="str">
        <x:v>ADMINISTRATIVE OFFICER IV</x:v>
      </x:c>
      <x:c r="B29" s="9" t="n">
        <x:f>IF(ISNUMBER('SG Reference'!B29),'SG Reference'!B29,"")</x:f>
        <x:v>15</x:v>
      </x:c>
      <x:c r="C29" s="8" t="str">
        <x:v>Exact title</x:v>
      </x:c>
      <x:c r="D29" s="8" t="str">
        <x:v>ADMINISTRATIVE OFFICER IV</x:v>
      </x:c>
      <x:c r="E29" s="8" t="n">
        <x:v>113</x:v>
      </x:c>
    </x:row>
    <x:row r="30" ht="30" customHeight="1">
      <x:c r="A30" s="8" t="str">
        <x:v>ADMINISTRATIVE OFFICER V</x:v>
      </x:c>
      <x:c r="B30" s="9" t="n">
        <x:f>IF(ISNUMBER('SG Reference'!B30),'SG Reference'!B30,"")</x:f>
        <x:v>18</x:v>
      </x:c>
      <x:c r="C30" s="8" t="str">
        <x:v>Exact title</x:v>
      </x:c>
      <x:c r="D30" s="8" t="str">
        <x:v>ADMINISTRATIVE OFFICER V</x:v>
      </x:c>
      <x:c r="E30" s="8" t="n">
        <x:v>114</x:v>
      </x:c>
    </x:row>
    <x:row r="31" ht="30" customHeight="1">
      <x:c r="A31" s="8" t="str">
        <x:v>ARCHITECT II</x:v>
      </x:c>
      <x:c r="B31" s="9" t="n">
        <x:f>IF(ISNUMBER('SG Reference'!B31),'SG Reference'!B31,"")</x:f>
        <x:v>16</x:v>
      </x:c>
      <x:c r="C31" s="8" t="str">
        <x:v>Exact title</x:v>
      </x:c>
      <x:c r="D31" s="8" t="str">
        <x:v>ARCHITECT II</x:v>
      </x:c>
      <x:c r="E31" s="8" t="n">
        <x:v>115</x:v>
      </x:c>
    </x:row>
    <x:row r="32" ht="30" customHeight="1">
      <x:c r="A32" s="8" t="str">
        <x:v>ARTIFICIAL LIMB AND BRACE MAKER</x:v>
      </x:c>
      <x:c r="B32" s="9" t="str">
        <x:f>IF(ISNUMBER('SG Reference'!B32),'SG Reference'!B32,"")</x:f>
      </x:c>
      <x:c r="C32" s="8" t="str">
        <x:v>SG unresolved — confirm rank</x:v>
      </x:c>
      <x:c r="D32" s="8" t="str">
        <x:v>ARTIFICIAL LIMB AND BRACE MAKER</x:v>
      </x:c>
      <x:c r="E32" s="8" t="n">
        <x:v>116</x:v>
      </x:c>
    </x:row>
    <x:row r="33" ht="30" customHeight="1">
      <x:c r="A33" s="8" t="str">
        <x:v>ARTIFICIAL LIMB AND BRACE MAKER III</x:v>
      </x:c>
      <x:c r="B33" s="9" t="n">
        <x:f>IF(ISNUMBER('SG Reference'!B33),'SG Reference'!B33,"")</x:f>
        <x:v>9</x:v>
      </x:c>
      <x:c r="C33" s="8" t="str">
        <x:v>Exact title</x:v>
      </x:c>
      <x:c r="D33" s="8" t="str">
        <x:v>ARTIFICIAL LIMB AND BRACE MAKER III</x:v>
      </x:c>
      <x:c r="E33" s="8" t="n">
        <x:v>117</x:v>
      </x:c>
    </x:row>
    <x:row r="34" ht="30" customHeight="1">
      <x:c r="A34" s="8" t="str">
        <x:v>ATTORNEY IV</x:v>
      </x:c>
      <x:c r="B34" s="9" t="n">
        <x:f>IF(ISNUMBER('SG Reference'!B34),'SG Reference'!B34,"")</x:f>
        <x:v>23</x:v>
      </x:c>
      <x:c r="C34" s="8" t="str">
        <x:v>Exact title</x:v>
      </x:c>
      <x:c r="D34" s="8" t="str">
        <x:v>ATTORNEY IV</x:v>
      </x:c>
      <x:c r="E34" s="8" t="n">
        <x:v>118</x:v>
      </x:c>
    </x:row>
    <x:row r="35" ht="30" customHeight="1">
      <x:c r="A35" s="8" t="str">
        <x:v>CHEMIST II</x:v>
      </x:c>
      <x:c r="B35" s="9" t="n">
        <x:f>IF(ISNUMBER('SG Reference'!B35),'SG Reference'!B35,"")</x:f>
        <x:v>15</x:v>
      </x:c>
      <x:c r="C35" s="8" t="str">
        <x:v>Exact title</x:v>
      </x:c>
      <x:c r="D35" s="8" t="str">
        <x:v>CHEMIST II</x:v>
      </x:c>
      <x:c r="E35" s="8" t="n">
        <x:v>119</x:v>
      </x:c>
    </x:row>
    <x:row r="36" ht="30" customHeight="1">
      <x:c r="A36" s="8" t="str">
        <x:v>CHEMIST III</x:v>
      </x:c>
      <x:c r="B36" s="9" t="n">
        <x:f>IF(ISNUMBER('SG Reference'!B36),'SG Reference'!B36,"")</x:f>
        <x:v>18</x:v>
      </x:c>
      <x:c r="C36" s="8" t="str">
        <x:v>Exact title</x:v>
      </x:c>
      <x:c r="D36" s="8" t="str">
        <x:v>CHEMIST III</x:v>
      </x:c>
      <x:c r="E36" s="8" t="n">
        <x:v>120</x:v>
      </x:c>
    </x:row>
    <x:row r="37" ht="30" customHeight="1">
      <x:c r="A37" s="8" t="str">
        <x:v>CHIEF ADMINISTRATIVE OFFICER</x:v>
      </x:c>
      <x:c r="B37" s="9" t="n">
        <x:f>IF(ISNUMBER('SG Reference'!B37),'SG Reference'!B37,"")</x:f>
        <x:v>24</x:v>
      </x:c>
      <x:c r="C37" s="8" t="str">
        <x:v>Exact title</x:v>
      </x:c>
      <x:c r="D37" s="8" t="str">
        <x:v>CHIEF ADMINISTRATIVE OFFICER</x:v>
      </x:c>
      <x:c r="E37" s="8" t="n">
        <x:v>121</x:v>
      </x:c>
    </x:row>
    <x:row r="38" ht="30" customHeight="1">
      <x:c r="A38" s="8" t="str">
        <x:v>CHIEF HEALTH PROGRAM OFFICER</x:v>
      </x:c>
      <x:c r="B38" s="9" t="n">
        <x:f>IF(ISNUMBER('SG Reference'!B38),'SG Reference'!B38,"")</x:f>
        <x:v>24</x:v>
      </x:c>
      <x:c r="C38" s="8" t="str">
        <x:v>Exact title</x:v>
      </x:c>
      <x:c r="D38" s="8" t="str">
        <x:v>CHIEF HEALTH PROGRAM OFFICER</x:v>
      </x:c>
      <x:c r="E38" s="8" t="n">
        <x:v>122</x:v>
      </x:c>
    </x:row>
    <x:row r="39" ht="30" customHeight="1">
      <x:c r="A39" s="8" t="str">
        <x:v>CHIEF OF MEDICAL PROFESSIONAL STAFF II</x:v>
      </x:c>
      <x:c r="B39" s="9" t="n">
        <x:f>IF(ISNUMBER('SG Reference'!B39),'SG Reference'!B39,"")</x:f>
        <x:v>26</x:v>
      </x:c>
      <x:c r="C39" s="8" t="str">
        <x:v>Exact title</x:v>
      </x:c>
      <x:c r="D39" s="8" t="str">
        <x:v>CHIEF OF MEDICAL PROFESSIONAL STAFF II</x:v>
      </x:c>
      <x:c r="E39" s="8" t="n">
        <x:v>123</x:v>
      </x:c>
    </x:row>
    <x:row r="40" ht="30" customHeight="1">
      <x:c r="A40" s="8" t="str">
        <x:v>COMPUTER MAINTENANCE TECHNOLOGIST II</x:v>
      </x:c>
      <x:c r="B40" s="9" t="n">
        <x:f>IF(ISNUMBER('SG Reference'!B40),'SG Reference'!B40,"")</x:f>
        <x:v>15</x:v>
      </x:c>
      <x:c r="C40" s="8" t="str">
        <x:v>Exact title</x:v>
      </x:c>
      <x:c r="D40" s="8" t="str">
        <x:v>COMPUTER MAINTENANCE TECHNOLOGIST II</x:v>
      </x:c>
      <x:c r="E40" s="8" t="n">
        <x:v>124</x:v>
      </x:c>
    </x:row>
    <x:row r="41" ht="30" customHeight="1">
      <x:c r="A41" s="8" t="str">
        <x:v>COMPUTER MAINTENANCE TECHNOLOGIST III</x:v>
      </x:c>
      <x:c r="B41" s="9" t="n">
        <x:f>IF(ISNUMBER('SG Reference'!B41),'SG Reference'!B41,"")</x:f>
        <x:v>17</x:v>
      </x:c>
      <x:c r="C41" s="8" t="str">
        <x:v>Exact title</x:v>
      </x:c>
      <x:c r="D41" s="8" t="str">
        <x:v>COMPUTER MAINTENANCE TECHNOLOGIST III</x:v>
      </x:c>
      <x:c r="E41" s="8" t="n">
        <x:v>125</x:v>
      </x:c>
    </x:row>
    <x:row r="42" ht="30" customHeight="1">
      <x:c r="A42" s="8" t="str">
        <x:v>COOK I</x:v>
      </x:c>
      <x:c r="B42" s="9" t="n">
        <x:f>IF(ISNUMBER('SG Reference'!B43),'SG Reference'!B43,"")</x:f>
        <x:v>3</x:v>
      </x:c>
      <x:c r="C42" s="8" t="str">
        <x:v>Exact title</x:v>
      </x:c>
      <x:c r="D42" s="8" t="str">
        <x:v>COOK I</x:v>
      </x:c>
      <x:c r="E42" s="8" t="n">
        <x:v>126</x:v>
      </x:c>
    </x:row>
    <x:row r="43" ht="30" customHeight="1">
      <x:c r="A43" s="8" t="str">
        <x:v>COOK II</x:v>
      </x:c>
      <x:c r="B43" s="9" t="n">
        <x:f>IF(ISNUMBER('SG Reference'!B44),'SG Reference'!B44,"")</x:f>
        <x:v>5</x:v>
      </x:c>
      <x:c r="C43" s="8" t="str">
        <x:v>Exact title</x:v>
      </x:c>
      <x:c r="D43" s="8" t="str">
        <x:v>COOK II</x:v>
      </x:c>
      <x:c r="E43" s="8" t="n">
        <x:v>127</x:v>
      </x:c>
    </x:row>
    <x:row r="44" ht="30" customHeight="1">
      <x:c r="A44" s="8" t="str">
        <x:v>DENTAL AIDE</x:v>
      </x:c>
      <x:c r="B44" s="9" t="n">
        <x:f>IF(ISNUMBER('SG Reference'!B45),'SG Reference'!B45,"")</x:f>
        <x:v>4</x:v>
      </x:c>
      <x:c r="C44" s="8" t="str">
        <x:v>Exact title</x:v>
      </x:c>
      <x:c r="D44" s="8" t="str">
        <x:v>DENTAL AIDE</x:v>
      </x:c>
      <x:c r="E44" s="8" t="n">
        <x:v>128</x:v>
      </x:c>
    </x:row>
    <x:row r="45" ht="30" customHeight="1">
      <x:c r="A45" s="8" t="str">
        <x:v>DENTAL HYGIENIST</x:v>
      </x:c>
      <x:c r="B45" s="9" t="n">
        <x:f>IF(ISNUMBER('SG Reference'!B46),'SG Reference'!B46,"")</x:f>
        <x:v>10</x:v>
      </x:c>
      <x:c r="C45" s="8" t="str">
        <x:v>Exact title</x:v>
      </x:c>
      <x:c r="D45" s="8" t="str">
        <x:v>DENTAL HYGIENIST</x:v>
      </x:c>
      <x:c r="E45" s="8" t="n">
        <x:v>129</x:v>
      </x:c>
    </x:row>
    <x:row r="46" ht="30" customHeight="1">
      <x:c r="A46" s="8" t="str">
        <x:v>DENTIST II</x:v>
      </x:c>
      <x:c r="B46" s="9" t="n">
        <x:f>IF(ISNUMBER('SG Reference'!B47),'SG Reference'!B47,"")</x:f>
        <x:v>17</x:v>
      </x:c>
      <x:c r="C46" s="8" t="str">
        <x:v>Exact title</x:v>
      </x:c>
      <x:c r="D46" s="8" t="str">
        <x:v>DENTIST II</x:v>
      </x:c>
      <x:c r="E46" s="8" t="n">
        <x:v>130</x:v>
      </x:c>
    </x:row>
    <x:row r="47" ht="30" customHeight="1">
      <x:c r="A47" s="8" t="str">
        <x:v>DENTIST III</x:v>
      </x:c>
      <x:c r="B47" s="9" t="n">
        <x:f>IF(ISNUMBER('SG Reference'!B48),'SG Reference'!B48,"")</x:f>
        <x:v>20</x:v>
      </x:c>
      <x:c r="C47" s="8" t="str">
        <x:v>Exact title</x:v>
      </x:c>
      <x:c r="D47" s="8" t="str">
        <x:v>DENTIST III</x:v>
      </x:c>
      <x:c r="E47" s="8" t="n">
        <x:v>131</x:v>
      </x:c>
    </x:row>
    <x:row r="48" ht="30" customHeight="1">
      <x:c r="A48" s="8" t="str">
        <x:v>DENTIST V</x:v>
      </x:c>
      <x:c r="B48" s="9" t="n">
        <x:f>IF(ISNUMBER('SG Reference'!B49),'SG Reference'!B49,"")</x:f>
        <x:v>24</x:v>
      </x:c>
      <x:c r="C48" s="8" t="str">
        <x:v>Exact title</x:v>
      </x:c>
      <x:c r="D48" s="8" t="str">
        <x:v>DENTIST V</x:v>
      </x:c>
      <x:c r="E48" s="8" t="n">
        <x:v>132</x:v>
      </x:c>
    </x:row>
    <x:row r="49" ht="30" customHeight="1">
      <x:c r="A49" s="8" t="str">
        <x:v>DORMITORY MANAGER I</x:v>
      </x:c>
      <x:c r="B49" s="9" t="n">
        <x:f>IF(ISNUMBER('SG Reference'!B50),'SG Reference'!B50,"")</x:f>
        <x:v>9</x:v>
      </x:c>
      <x:c r="C49" s="8" t="str">
        <x:v>Exact title</x:v>
      </x:c>
      <x:c r="D49" s="8" t="str">
        <x:v>DORMITORY MANAGER I</x:v>
      </x:c>
      <x:c r="E49" s="8" t="n">
        <x:v>133</x:v>
      </x:c>
    </x:row>
    <x:row r="50" ht="30" customHeight="1">
      <x:c r="A50" s="8" t="str">
        <x:v>DORMITORY MANAGER II</x:v>
      </x:c>
      <x:c r="B50" s="9" t="n">
        <x:f>IF(ISNUMBER('SG Reference'!B51),'SG Reference'!B51,"")</x:f>
        <x:v>11</x:v>
      </x:c>
      <x:c r="C50" s="8" t="str">
        <x:v>Exact title</x:v>
      </x:c>
      <x:c r="D50" s="8" t="str">
        <x:v>DORMITORY MANAGER II</x:v>
      </x:c>
      <x:c r="E50" s="8" t="n">
        <x:v>134</x:v>
      </x:c>
    </x:row>
    <x:row r="51" ht="30" customHeight="1">
      <x:c r="A51" s="8" t="str">
        <x:v>ENGINEER II</x:v>
      </x:c>
      <x:c r="B51" s="9" t="n">
        <x:f>IF(ISNUMBER('SG Reference'!B52),'SG Reference'!B52,"")</x:f>
        <x:v>16</x:v>
      </x:c>
      <x:c r="C51" s="8" t="str">
        <x:v>Exact title</x:v>
      </x:c>
      <x:c r="D51" s="8" t="str">
        <x:v>ENGINEER II</x:v>
      </x:c>
      <x:c r="E51" s="8" t="n">
        <x:v>135</x:v>
      </x:c>
    </x:row>
    <x:row r="52" ht="30" customHeight="1">
      <x:c r="A52" s="8" t="str">
        <x:v>ENGINEER III</x:v>
      </x:c>
      <x:c r="B52" s="9" t="n">
        <x:f>IF(ISNUMBER('SG Reference'!B53),'SG Reference'!B53,"")</x:f>
        <x:v>19</x:v>
      </x:c>
      <x:c r="C52" s="8" t="str">
        <x:v>Exact title</x:v>
      </x:c>
      <x:c r="D52" s="8" t="str">
        <x:v>ENGINEER III</x:v>
      </x:c>
      <x:c r="E52" s="8" t="n">
        <x:v>136</x:v>
      </x:c>
    </x:row>
    <x:row r="53" ht="30" customHeight="1">
      <x:c r="A53" s="8" t="str">
        <x:v>ENGINEER IV</x:v>
      </x:c>
      <x:c r="B53" s="9" t="n">
        <x:f>IF(ISNUMBER('SG Reference'!B54),'SG Reference'!B54,"")</x:f>
        <x:v>22</x:v>
      </x:c>
      <x:c r="C53" s="8" t="str">
        <x:v>Exact title</x:v>
      </x:c>
      <x:c r="D53" s="8" t="str">
        <x:v>ENGINEER IV</x:v>
      </x:c>
      <x:c r="E53" s="8" t="n">
        <x:v>137</x:v>
      </x:c>
    </x:row>
    <x:row r="54" ht="30" customHeight="1">
      <x:c r="A54" s="8" t="str">
        <x:v>FINANCIAL AND MANAGEMENT OFFICER II</x:v>
      </x:c>
      <x:c r="B54" s="9" t="n">
        <x:f>IF(ISNUMBER('SG Reference'!B55),'SG Reference'!B55,"")</x:f>
        <x:v>24</x:v>
      </x:c>
      <x:c r="C54" s="8" t="str">
        <x:v>Exact title</x:v>
      </x:c>
      <x:c r="D54" s="8" t="str">
        <x:v>FINANCIAL AND MANAGEMENT OFFICER II</x:v>
      </x:c>
      <x:c r="E54" s="8" t="n">
        <x:v>138</x:v>
      </x:c>
    </x:row>
    <x:row r="55" ht="30" customHeight="1">
      <x:c r="A55" s="8" t="str">
        <x:v>HEALTH EDUCATION AND PROMOTION OFFICER II</x:v>
      </x:c>
      <x:c r="B55" s="9" t="n">
        <x:f>IF(ISNUMBER('SG Reference'!B56),'SG Reference'!B56,"")</x:f>
        <x:v>14</x:v>
      </x:c>
      <x:c r="C55" s="8" t="str">
        <x:v>Exact title</x:v>
      </x:c>
      <x:c r="D55" s="8" t="str">
        <x:v>HEALTH EDUCATION AND PROMOTION OFFICER II</x:v>
      </x:c>
      <x:c r="E55" s="8" t="n">
        <x:v>139</x:v>
      </x:c>
    </x:row>
    <x:row r="56" ht="30" customHeight="1">
      <x:c r="A56" s="8" t="str">
        <x:v>HEALTH PHYSICIST III</x:v>
      </x:c>
      <x:c r="B56" s="9" t="n">
        <x:f>IF(ISNUMBER('SG Reference'!B57),'SG Reference'!B57,"")</x:f>
        <x:v>22</x:v>
      </x:c>
      <x:c r="C56" s="8" t="str">
        <x:v>Exact title</x:v>
      </x:c>
      <x:c r="D56" s="8" t="str">
        <x:v>HEALTH PHYSICIST III</x:v>
      </x:c>
      <x:c r="E56" s="8" t="n">
        <x:v>140</x:v>
      </x:c>
    </x:row>
    <x:row r="57" ht="30" customHeight="1">
      <x:c r="A57" s="8" t="str">
        <x:v>HOSPITAL HOUSEKEEPER</x:v>
      </x:c>
      <x:c r="B57" s="9" t="n">
        <x:f>IF(ISNUMBER('SG Reference'!B58),'SG Reference'!B58,"")</x:f>
        <x:v>8</x:v>
      </x:c>
      <x:c r="C57" s="8" t="str">
        <x:v>Exact title</x:v>
      </x:c>
      <x:c r="D57" s="8" t="str">
        <x:v>HOSPITAL HOUSEKEEPER</x:v>
      </x:c>
      <x:c r="E57" s="8" t="n">
        <x:v>141</x:v>
      </x:c>
    </x:row>
    <x:row r="58" ht="30" customHeight="1">
      <x:c r="A58" s="8" t="str">
        <x:v>INFORMATION SYSTEM ANALYST I</x:v>
      </x:c>
      <x:c r="B58" s="9" t="n">
        <x:f>IF(ISNUMBER('SG Reference'!B59),'SG Reference'!B59,"")</x:f>
        <x:v>12</x:v>
      </x:c>
      <x:c r="C58" s="8" t="str">
        <x:v>Title variation — review</x:v>
      </x:c>
      <x:c r="D58" s="8" t="str">
        <x:v>INFORMATION SYSTEMS ANALYST I</x:v>
      </x:c>
      <x:c r="E58" s="8" t="n">
        <x:v>142</x:v>
      </x:c>
    </x:row>
    <x:row r="59" ht="30" customHeight="1">
      <x:c r="A59" s="8" t="str">
        <x:v>INFORMATION SYSTEM ANALYST II</x:v>
      </x:c>
      <x:c r="B59" s="9" t="n">
        <x:f>IF(ISNUMBER('SG Reference'!B60),'SG Reference'!B60,"")</x:f>
        <x:v>16</x:v>
      </x:c>
      <x:c r="C59" s="8" t="str">
        <x:v>Title variation — review</x:v>
      </x:c>
      <x:c r="D59" s="8" t="str">
        <x:v>INFORMATION SYSTEMS ANALYST II</x:v>
      </x:c>
      <x:c r="E59" s="8" t="n">
        <x:v>143</x:v>
      </x:c>
    </x:row>
    <x:row r="60" ht="30" customHeight="1">
      <x:c r="A60" s="8" t="str">
        <x:v>INFORMATION SYSTEM ANALYST III</x:v>
      </x:c>
      <x:c r="B60" s="9" t="n">
        <x:f>IF(ISNUMBER('SG Reference'!B61),'SG Reference'!B61,"")</x:f>
        <x:v>19</x:v>
      </x:c>
      <x:c r="C60" s="8" t="str">
        <x:v>Title variation — review</x:v>
      </x:c>
      <x:c r="D60" s="8" t="str">
        <x:v>INFORMATION SYSTEMS ANALYST III</x:v>
      </x:c>
      <x:c r="E60" s="8" t="n">
        <x:v>144</x:v>
      </x:c>
    </x:row>
    <x:row r="61" ht="30" customHeight="1">
      <x:c r="A61" s="8" t="str">
        <x:v>LABORATORY AIDE II</x:v>
      </x:c>
      <x:c r="B61" s="9" t="n">
        <x:f>IF(ISNUMBER('SG Reference'!B62),'SG Reference'!B62,"")</x:f>
        <x:v>4</x:v>
      </x:c>
      <x:c r="C61" s="8" t="str">
        <x:v>Exact title</x:v>
      </x:c>
      <x:c r="D61" s="8" t="str">
        <x:v>LABORATORY AIDE II</x:v>
      </x:c>
      <x:c r="E61" s="8" t="n">
        <x:v>145</x:v>
      </x:c>
    </x:row>
    <x:row r="62" ht="30" customHeight="1">
      <x:c r="A62" s="8" t="str">
        <x:v>LABORATORY TECHNICIAN I</x:v>
      </x:c>
      <x:c r="B62" s="9" t="n">
        <x:f>IF(ISNUMBER('SG Reference'!B64),'SG Reference'!B64,"")</x:f>
        <x:v>6</x:v>
      </x:c>
      <x:c r="C62" s="8" t="str">
        <x:v>Exact title</x:v>
      </x:c>
      <x:c r="D62" s="8" t="str">
        <x:v>LABORATORY TECHNICIAN I</x:v>
      </x:c>
      <x:c r="E62" s="8" t="n">
        <x:v>146</x:v>
      </x:c>
    </x:row>
    <x:row r="63" ht="30" customHeight="1">
      <x:c r="A63" s="8" t="str">
        <x:v>LAUNDRY WORKER I</x:v>
      </x:c>
      <x:c r="B63" s="9" t="n">
        <x:f>IF(ISNUMBER('SG Reference'!B65),'SG Reference'!B65,"")</x:f>
        <x:v>1</x:v>
      </x:c>
      <x:c r="C63" s="8" t="str">
        <x:v>Exact title</x:v>
      </x:c>
      <x:c r="D63" s="8" t="str">
        <x:v>LAUNDRY WORKER I</x:v>
      </x:c>
      <x:c r="E63" s="8" t="n">
        <x:v>147</x:v>
      </x:c>
    </x:row>
    <x:row r="64" ht="30" customHeight="1">
      <x:c r="A64" s="8" t="str">
        <x:v>LAUNDRY WORKER II</x:v>
      </x:c>
      <x:c r="B64" s="9" t="n">
        <x:f>IF(ISNUMBER('SG Reference'!B66),'SG Reference'!B66,"")</x:f>
        <x:v>3</x:v>
      </x:c>
      <x:c r="C64" s="8" t="str">
        <x:v>Exact title</x:v>
      </x:c>
      <x:c r="D64" s="8" t="str">
        <x:v>LAUNDRY WORKER II</x:v>
      </x:c>
      <x:c r="E64" s="8" t="n">
        <x:v>148</x:v>
      </x:c>
    </x:row>
    <x:row r="65" ht="30" customHeight="1">
      <x:c r="A65" s="8" t="str">
        <x:v>LEGAL ASSISTANT I</x:v>
      </x:c>
      <x:c r="B65" s="9" t="n">
        <x:f>IF(ISNUMBER('SG Reference'!B67),'SG Reference'!B67,"")</x:f>
        <x:v>10</x:v>
      </x:c>
      <x:c r="C65" s="8" t="str">
        <x:v>Exact title</x:v>
      </x:c>
      <x:c r="D65" s="8" t="str">
        <x:v>LEGAL ASSISTANT I</x:v>
      </x:c>
      <x:c r="E65" s="8" t="n">
        <x:v>149</x:v>
      </x:c>
    </x:row>
    <x:row r="66" ht="30" customHeight="1">
      <x:c r="A66" s="8" t="str">
        <x:v>LEGAL ASSISTANT II</x:v>
      </x:c>
      <x:c r="B66" s="9" t="n">
        <x:f>IF(ISNUMBER('SG Reference'!B68),'SG Reference'!B68,"")</x:f>
        <x:v>12</x:v>
      </x:c>
      <x:c r="C66" s="8" t="str">
        <x:v>Exact title</x:v>
      </x:c>
      <x:c r="D66" s="8" t="str">
        <x:v>LEGAL ASSISTANT II</x:v>
      </x:c>
      <x:c r="E66" s="8" t="n">
        <x:v>150</x:v>
      </x:c>
    </x:row>
    <x:row r="67" ht="30" customHeight="1">
      <x:c r="A67" s="8" t="str">
        <x:v>MEDICAL CENTER CHIEF II</x:v>
      </x:c>
      <x:c r="B67" s="9" t="n">
        <x:f>IF(ISNUMBER('SG Reference'!B69),'SG Reference'!B69,"")</x:f>
        <x:v>27</x:v>
      </x:c>
      <x:c r="C67" s="8" t="str">
        <x:v>Exact title</x:v>
      </x:c>
      <x:c r="D67" s="8" t="str">
        <x:v>MEDICAL CENTER CHIEF II</x:v>
      </x:c>
      <x:c r="E67" s="8" t="n">
        <x:v>151</x:v>
      </x:c>
    </x:row>
    <x:row r="68" ht="30" customHeight="1">
      <x:c r="A68" s="8" t="str">
        <x:v>MEDICAL EQUIPMENT TECHNICIAN I</x:v>
      </x:c>
      <x:c r="B68" s="9" t="n">
        <x:f>IF(ISNUMBER('SG Reference'!B70),'SG Reference'!B70,"")</x:f>
        <x:v>6</x:v>
      </x:c>
      <x:c r="C68" s="8" t="str">
        <x:v>Exact title</x:v>
      </x:c>
      <x:c r="D68" s="8" t="str">
        <x:v>MEDICAL EQUIPMENT TECHNICIAN I</x:v>
      </x:c>
      <x:c r="E68" s="8" t="n">
        <x:v>152</x:v>
      </x:c>
    </x:row>
    <x:row r="69" ht="30" customHeight="1">
      <x:c r="A69" s="8" t="str">
        <x:v>MEDICAL EQUIPMENT TECHNICIAN II</x:v>
      </x:c>
      <x:c r="B69" s="9" t="n">
        <x:f>IF(ISNUMBER('SG Reference'!B71),'SG Reference'!B71,"")</x:f>
        <x:v>8</x:v>
      </x:c>
      <x:c r="C69" s="8" t="str">
        <x:v>Exact title</x:v>
      </x:c>
      <x:c r="D69" s="8" t="str">
        <x:v>MEDICAL EQUIPMENT TECHNICIAN II</x:v>
      </x:c>
      <x:c r="E69" s="8" t="n">
        <x:v>153</x:v>
      </x:c>
    </x:row>
    <x:row r="70" ht="30" customHeight="1">
      <x:c r="A70" s="8" t="str">
        <x:v>MEDICAL EQUIPMENT TECHNICIAN III</x:v>
      </x:c>
      <x:c r="B70" s="9" t="n">
        <x:f>IF(ISNUMBER('SG Reference'!B72),'SG Reference'!B72,"")</x:f>
        <x:v>11</x:v>
      </x:c>
      <x:c r="C70" s="8" t="str">
        <x:v>Exact title</x:v>
      </x:c>
      <x:c r="D70" s="8" t="str">
        <x:v>MEDICAL EQUIPMENT TECHNICIAN III</x:v>
      </x:c>
      <x:c r="E70" s="8" t="n">
        <x:v>154</x:v>
      </x:c>
    </x:row>
    <x:row r="71" ht="30" customHeight="1">
      <x:c r="A71" s="8" t="str">
        <x:v>MEDICAL EQUIPMENT TECHNICIAN IV</x:v>
      </x:c>
      <x:c r="B71" s="9" t="n">
        <x:f>IF(ISNUMBER('SG Reference'!B73),'SG Reference'!B73,"")</x:f>
        <x:v>13</x:v>
      </x:c>
      <x:c r="C71" s="8" t="str">
        <x:v>Exact title</x:v>
      </x:c>
      <x:c r="D71" s="8" t="str">
        <x:v>MEDICAL EQUIPMENT TECHNICIAN IV</x:v>
      </x:c>
      <x:c r="E71" s="8" t="n">
        <x:v>155</x:v>
      </x:c>
    </x:row>
    <x:row r="72" ht="30" customHeight="1">
      <x:c r="A72" s="8" t="str">
        <x:v>MEDICAL LABORATORY TECHNICIAN I</x:v>
      </x:c>
      <x:c r="B72" s="9" t="n">
        <x:f>IF(ISNUMBER('SG Reference'!B74),'SG Reference'!B74,"")</x:f>
        <x:v>6</x:v>
      </x:c>
      <x:c r="C72" s="8" t="str">
        <x:v>Exact title</x:v>
      </x:c>
      <x:c r="D72" s="8" t="str">
        <x:v>MEDICAL LABORATORY TECHNICIAN I</x:v>
      </x:c>
      <x:c r="E72" s="8" t="n">
        <x:v>156</x:v>
      </x:c>
    </x:row>
    <x:row r="73" ht="30" customHeight="1">
      <x:c r="A73" s="8" t="str">
        <x:v>MEDICAL LABORATORY TECHNICIAN III</x:v>
      </x:c>
      <x:c r="B73" s="9" t="n">
        <x:f>IF(ISNUMBER('SG Reference'!B75),'SG Reference'!B75,"")</x:f>
        <x:v>10</x:v>
      </x:c>
      <x:c r="C73" s="8" t="str">
        <x:v>Exact title</x:v>
      </x:c>
      <x:c r="D73" s="8" t="str">
        <x:v>MEDICAL LABORATORY TECHNICIAN III</x:v>
      </x:c>
      <x:c r="E73" s="8" t="n">
        <x:v>157</x:v>
      </x:c>
    </x:row>
    <x:row r="74" ht="30" customHeight="1">
      <x:c r="A74" s="8" t="str">
        <x:v>MEDICAL OFFICER III</x:v>
      </x:c>
      <x:c r="B74" s="9" t="n">
        <x:f>IF(ISNUMBER('SG Reference'!B76),'SG Reference'!B76,"")</x:f>
        <x:v>21</x:v>
      </x:c>
      <x:c r="C74" s="8" t="str">
        <x:v>Exact title</x:v>
      </x:c>
      <x:c r="D74" s="8" t="str">
        <x:v>MEDICAL OFFICER III</x:v>
      </x:c>
      <x:c r="E74" s="8" t="n">
        <x:v>158</x:v>
      </x:c>
    </x:row>
    <x:row r="75" ht="30" customHeight="1">
      <x:c r="A75" s="8" t="str">
        <x:v>MEDICAL OFFICER IV</x:v>
      </x:c>
      <x:c r="B75" s="9" t="n">
        <x:f>IF(ISNUMBER('SG Reference'!B77),'SG Reference'!B77,"")</x:f>
        <x:v>23</x:v>
      </x:c>
      <x:c r="C75" s="8" t="str">
        <x:v>Exact title</x:v>
      </x:c>
      <x:c r="D75" s="8" t="str">
        <x:v>MEDICAL OFFICER IV</x:v>
      </x:c>
      <x:c r="E75" s="8" t="n">
        <x:v>159</x:v>
      </x:c>
    </x:row>
    <x:row r="76" ht="30" customHeight="1">
      <x:c r="A76" s="8" t="str">
        <x:v>MEDICAL OFFICER V</x:v>
      </x:c>
      <x:c r="B76" s="9" t="n">
        <x:f>IF(ISNUMBER('SG Reference'!B78),'SG Reference'!B78,"")</x:f>
        <x:v>25</x:v>
      </x:c>
      <x:c r="C76" s="8" t="str">
        <x:v>Exact title</x:v>
      </x:c>
      <x:c r="D76" s="8" t="str">
        <x:v>MEDICAL OFFICER V</x:v>
      </x:c>
      <x:c r="E76" s="8" t="n">
        <x:v>160</x:v>
      </x:c>
    </x:row>
    <x:row r="77" ht="30" customHeight="1">
      <x:c r="A77" s="8" t="str">
        <x:v>MEDICAL SPECIALIST II</x:v>
      </x:c>
      <x:c r="B77" s="9" t="n">
        <x:f>IF(ISNUMBER('SG Reference'!B79),'SG Reference'!B79,"")</x:f>
        <x:v>23</x:v>
      </x:c>
      <x:c r="C77" s="8" t="str">
        <x:v>Exact title</x:v>
      </x:c>
      <x:c r="D77" s="8" t="str">
        <x:v>MEDICAL SPECIALIST II</x:v>
      </x:c>
      <x:c r="E77" s="8" t="n">
        <x:v>161</x:v>
      </x:c>
    </x:row>
    <x:row r="78" ht="30" customHeight="1">
      <x:c r="A78" s="8" t="str">
        <x:v>MEDICAL SPECIALIST II (PT)</x:v>
      </x:c>
      <x:c r="B78" s="9" t="n">
        <x:f>IF(ISNUMBER('SG Reference'!B80),'SG Reference'!B80,"")</x:f>
        <x:v>23</x:v>
      </x:c>
      <x:c r="C78" s="8" t="str">
        <x:v>Exact title</x:v>
      </x:c>
      <x:c r="D78" s="8" t="str">
        <x:v>MEDICAL SPECIALIST II (PT)</x:v>
      </x:c>
      <x:c r="E78" s="8" t="n">
        <x:v>162</x:v>
      </x:c>
    </x:row>
    <x:row r="79" ht="30" customHeight="1">
      <x:c r="A79" s="8" t="str">
        <x:v>MEDICAL SPECIALIST III</x:v>
      </x:c>
      <x:c r="B79" s="9" t="n">
        <x:f>IF(ISNUMBER('SG Reference'!B81),'SG Reference'!B81,"")</x:f>
        <x:v>24</x:v>
      </x:c>
      <x:c r="C79" s="8" t="str">
        <x:v>Exact title</x:v>
      </x:c>
      <x:c r="D79" s="8" t="str">
        <x:v>MEDICAL SPECIALIST III</x:v>
      </x:c>
      <x:c r="E79" s="8" t="n">
        <x:v>163</x:v>
      </x:c>
    </x:row>
    <x:row r="80" ht="30" customHeight="1">
      <x:c r="A80" s="8" t="str">
        <x:v>MEDICAL SPECIALIST III (PT)</x:v>
      </x:c>
      <x:c r="B80" s="9" t="n">
        <x:f>IF(ISNUMBER('SG Reference'!B82),'SG Reference'!B82,"")</x:f>
        <x:v>24</x:v>
      </x:c>
      <x:c r="C80" s="8" t="str">
        <x:v>Exact title</x:v>
      </x:c>
      <x:c r="D80" s="8" t="str">
        <x:v>MEDICAL SPECIALIST III (PT)</x:v>
      </x:c>
      <x:c r="E80" s="8" t="n">
        <x:v>164</x:v>
      </x:c>
    </x:row>
    <x:row r="81" ht="30" customHeight="1">
      <x:c r="A81" s="8" t="str">
        <x:v>MEDICAL SPECIALIST IV</x:v>
      </x:c>
      <x:c r="B81" s="9" t="n">
        <x:f>IF(ISNUMBER('SG Reference'!B83),'SG Reference'!B83,"")</x:f>
        <x:v>25</x:v>
      </x:c>
      <x:c r="C81" s="8" t="str">
        <x:v>Exact title</x:v>
      </x:c>
      <x:c r="D81" s="8" t="str">
        <x:v>MEDICAL SPECIALIST IV</x:v>
      </x:c>
      <x:c r="E81" s="8" t="n">
        <x:v>165</x:v>
      </x:c>
    </x:row>
    <x:row r="82" ht="30" customHeight="1">
      <x:c r="A82" s="8" t="str">
        <x:v>MEDICAL TECHNOLOGIST I</x:v>
      </x:c>
      <x:c r="B82" s="9" t="n">
        <x:f>IF(ISNUMBER('SG Reference'!B84),'SG Reference'!B84,"")</x:f>
        <x:v>11</x:v>
      </x:c>
      <x:c r="C82" s="8" t="str">
        <x:v>Exact title</x:v>
      </x:c>
      <x:c r="D82" s="8" t="str">
        <x:v>MEDICAL TECHNOLOGIST I</x:v>
      </x:c>
      <x:c r="E82" s="8" t="n">
        <x:v>166</x:v>
      </x:c>
    </x:row>
    <x:row r="83" ht="30" customHeight="1">
      <x:c r="A83" s="8" t="str">
        <x:v>MEDICAL TECHNOLOGIST II</x:v>
      </x:c>
      <x:c r="B83" s="9" t="n">
        <x:f>IF(ISNUMBER('SG Reference'!B85),'SG Reference'!B85,"")</x:f>
        <x:v>15</x:v>
      </x:c>
      <x:c r="C83" s="8" t="str">
        <x:v>Exact title</x:v>
      </x:c>
      <x:c r="D83" s="8" t="str">
        <x:v>MEDICAL TECHNOLOGIST II</x:v>
      </x:c>
      <x:c r="E83" s="8" t="n">
        <x:v>167</x:v>
      </x:c>
    </x:row>
    <x:row r="84" ht="30" customHeight="1">
      <x:c r="A84" s="8" t="str">
        <x:v>MEDICAL TECHNOLOGIST III</x:v>
      </x:c>
      <x:c r="B84" s="9" t="n">
        <x:f>IF(ISNUMBER('SG Reference'!B86),'SG Reference'!B86,"")</x:f>
        <x:v>18</x:v>
      </x:c>
      <x:c r="C84" s="8" t="str">
        <x:v>Exact title</x:v>
      </x:c>
      <x:c r="D84" s="8" t="str">
        <x:v>MEDICAL TECHNOLOGIST III</x:v>
      </x:c>
      <x:c r="E84" s="8" t="n">
        <x:v>168</x:v>
      </x:c>
    </x:row>
    <x:row r="85" ht="30" customHeight="1">
      <x:c r="A85" s="8" t="str">
        <x:v>MEDICAL TECHNOLOGIST IV</x:v>
      </x:c>
      <x:c r="B85" s="9" t="n">
        <x:f>IF(ISNUMBER('SG Reference'!B87),'SG Reference'!B87,"")</x:f>
        <x:v>20</x:v>
      </x:c>
      <x:c r="C85" s="8" t="str">
        <x:v>Exact title</x:v>
      </x:c>
      <x:c r="D85" s="8" t="str">
        <x:v>MEDICAL TECHNOLOGIST IV</x:v>
      </x:c>
      <x:c r="E85" s="8" t="n">
        <x:v>169</x:v>
      </x:c>
    </x:row>
    <x:row r="86" ht="30" customHeight="1">
      <x:c r="A86" s="8" t="str">
        <x:v>MEDICAL TECHNOLOGIST V</x:v>
      </x:c>
      <x:c r="B86" s="9" t="n">
        <x:f>IF(ISNUMBER('SG Reference'!B88),'SG Reference'!B88,"")</x:f>
        <x:v>22</x:v>
      </x:c>
      <x:c r="C86" s="8" t="str">
        <x:v>Exact title</x:v>
      </x:c>
      <x:c r="D86" s="8" t="str">
        <x:v>MEDICAL TECHNOLOGIST V</x:v>
      </x:c>
      <x:c r="E86" s="8" t="n">
        <x:v>170</x:v>
      </x:c>
    </x:row>
    <x:row r="87" ht="30" customHeight="1">
      <x:c r="A87" s="8" t="str">
        <x:v>MIDWIFE I</x:v>
      </x:c>
      <x:c r="B87" s="9" t="n">
        <x:f>IF(ISNUMBER('SG Reference'!B89),'SG Reference'!B89,"")</x:f>
        <x:v>9</x:v>
      </x:c>
      <x:c r="C87" s="8" t="str">
        <x:v>Exact title</x:v>
      </x:c>
      <x:c r="D87" s="8" t="str">
        <x:v>MIDWIFE I</x:v>
      </x:c>
      <x:c r="E87" s="8" t="n">
        <x:v>171</x:v>
      </x:c>
    </x:row>
    <x:row r="88" ht="30" customHeight="1">
      <x:c r="A88" s="8" t="str">
        <x:v>MIDWIFE II</x:v>
      </x:c>
      <x:c r="B88" s="9" t="n">
        <x:f>IF(ISNUMBER('SG Reference'!B90),'SG Reference'!B90,"")</x:f>
        <x:v>11</x:v>
      </x:c>
      <x:c r="C88" s="8" t="str">
        <x:v>Exact title</x:v>
      </x:c>
      <x:c r="D88" s="8" t="str">
        <x:v>MIDWIFE II</x:v>
      </x:c>
      <x:c r="E88" s="8" t="n">
        <x:v>172</x:v>
      </x:c>
    </x:row>
    <x:row r="89" ht="30" customHeight="1">
      <x:c r="A89" s="8" t="str">
        <x:v>MIDWIFE III</x:v>
      </x:c>
      <x:c r="B89" s="9" t="n">
        <x:f>IF(ISNUMBER('SG Reference'!B91),'SG Reference'!B91,"")</x:f>
        <x:v>13</x:v>
      </x:c>
      <x:c r="C89" s="8" t="str">
        <x:v>Exact title</x:v>
      </x:c>
      <x:c r="D89" s="8" t="str">
        <x:v>MIDWIFE III</x:v>
      </x:c>
      <x:c r="E89" s="8" t="n">
        <x:v>173</x:v>
      </x:c>
    </x:row>
    <x:row r="90" ht="30" customHeight="1">
      <x:c r="A90" s="8" t="str">
        <x:v>NURSE I</x:v>
      </x:c>
      <x:c r="B90" s="9" t="n">
        <x:f>IF(ISNUMBER('SG Reference'!B92),'SG Reference'!B92,"")</x:f>
        <x:v>15</x:v>
      </x:c>
      <x:c r="C90" s="8" t="str">
        <x:v>Exact title</x:v>
      </x:c>
      <x:c r="D90" s="8" t="str">
        <x:v>NURSE I</x:v>
      </x:c>
      <x:c r="E90" s="8" t="n">
        <x:v>174</x:v>
      </x:c>
    </x:row>
    <x:row r="91" ht="30" customHeight="1">
      <x:c r="A91" s="8" t="str">
        <x:v>NURSE II</x:v>
      </x:c>
      <x:c r="B91" s="9" t="n">
        <x:f>IF(ISNUMBER('SG Reference'!B93),'SG Reference'!B93,"")</x:f>
        <x:v>16</x:v>
      </x:c>
      <x:c r="C91" s="8" t="str">
        <x:v>Exact title</x:v>
      </x:c>
      <x:c r="D91" s="8" t="str">
        <x:v>NURSE II</x:v>
      </x:c>
      <x:c r="E91" s="8" t="n">
        <x:v>175</x:v>
      </x:c>
    </x:row>
    <x:row r="92" ht="30" customHeight="1">
      <x:c r="A92" s="8" t="str">
        <x:v>NURSE III</x:v>
      </x:c>
      <x:c r="B92" s="9" t="n">
        <x:f>IF(ISNUMBER('SG Reference'!B94),'SG Reference'!B94,"")</x:f>
        <x:v>17</x:v>
      </x:c>
      <x:c r="C92" s="8" t="str">
        <x:v>Exact title</x:v>
      </x:c>
      <x:c r="D92" s="8" t="str">
        <x:v>NURSE III</x:v>
      </x:c>
      <x:c r="E92" s="8" t="n">
        <x:v>176</x:v>
      </x:c>
    </x:row>
    <x:row r="93" ht="30" customHeight="1">
      <x:c r="A93" s="8" t="str">
        <x:v>NURSE IV</x:v>
      </x:c>
      <x:c r="B93" s="9" t="n">
        <x:f>IF(ISNUMBER('SG Reference'!B95),'SG Reference'!B95,"")</x:f>
        <x:v>19</x:v>
      </x:c>
      <x:c r="C93" s="8" t="str">
        <x:v>Exact title</x:v>
      </x:c>
      <x:c r="D93" s="8" t="str">
        <x:v>NURSE IV</x:v>
      </x:c>
      <x:c r="E93" s="8" t="n">
        <x:v>177</x:v>
      </x:c>
    </x:row>
    <x:row r="94" ht="30" customHeight="1">
      <x:c r="A94" s="8" t="str">
        <x:v>NURSE V</x:v>
      </x:c>
      <x:c r="B94" s="9" t="n">
        <x:f>IF(ISNUMBER('SG Reference'!B96),'SG Reference'!B96,"")</x:f>
        <x:v>20</x:v>
      </x:c>
      <x:c r="C94" s="8" t="str">
        <x:v>Exact title</x:v>
      </x:c>
      <x:c r="D94" s="8" t="str">
        <x:v>NURSE V</x:v>
      </x:c>
      <x:c r="E94" s="8" t="n">
        <x:v>178</x:v>
      </x:c>
    </x:row>
    <x:row r="95" ht="30" customHeight="1">
      <x:c r="A95" s="8" t="str">
        <x:v>NURSE VI</x:v>
      </x:c>
      <x:c r="B95" s="9" t="n">
        <x:f>IF(ISNUMBER('SG Reference'!B97),'SG Reference'!B97,"")</x:f>
        <x:v>22</x:v>
      </x:c>
      <x:c r="C95" s="8" t="str">
        <x:v>Exact title</x:v>
      </x:c>
      <x:c r="D95" s="8" t="str">
        <x:v>NURSE VI</x:v>
      </x:c>
      <x:c r="E95" s="8" t="n">
        <x:v>179</x:v>
      </x:c>
    </x:row>
    <x:row r="96" ht="30" customHeight="1">
      <x:c r="A96" s="8" t="str">
        <x:v>NURSE VII</x:v>
      </x:c>
      <x:c r="B96" s="9" t="n">
        <x:f>IF(ISNUMBER('SG Reference'!B98),'SG Reference'!B98,"")</x:f>
        <x:v>24</x:v>
      </x:c>
      <x:c r="C96" s="8" t="str">
        <x:v>Exact title</x:v>
      </x:c>
      <x:c r="D96" s="8" t="str">
        <x:v>NURSE VII</x:v>
      </x:c>
      <x:c r="E96" s="8" t="n">
        <x:v>180</x:v>
      </x:c>
    </x:row>
    <x:row r="97" ht="30" customHeight="1">
      <x:c r="A97" s="8" t="str">
        <x:v>NURSING ATTENDANT I</x:v>
      </x:c>
      <x:c r="B97" s="9" t="n">
        <x:f>IF(ISNUMBER('SG Reference'!B99),'SG Reference'!B99,"")</x:f>
        <x:v>4</x:v>
      </x:c>
      <x:c r="C97" s="8" t="str">
        <x:v>Exact title</x:v>
      </x:c>
      <x:c r="D97" s="8" t="str">
        <x:v>NURSING ATTENDANT I</x:v>
      </x:c>
      <x:c r="E97" s="8" t="n">
        <x:v>181</x:v>
      </x:c>
    </x:row>
    <x:row r="98" ht="30" customHeight="1">
      <x:c r="A98" s="8" t="str">
        <x:v>NURSING ATTENDANT II</x:v>
      </x:c>
      <x:c r="B98" s="9" t="n">
        <x:f>IF(ISNUMBER('SG Reference'!B100),'SG Reference'!B100,"")</x:f>
        <x:v>6</x:v>
      </x:c>
      <x:c r="C98" s="8" t="str">
        <x:v>Exact title</x:v>
      </x:c>
      <x:c r="D98" s="8" t="str">
        <x:v>NURSING ATTENDANT II</x:v>
      </x:c>
      <x:c r="E98" s="8" t="n">
        <x:v>182</x:v>
      </x:c>
    </x:row>
    <x:row r="99" ht="30" customHeight="1">
      <x:c r="A99" s="8" t="str">
        <x:v>NUTRITIONIST DIETITIAN I</x:v>
      </x:c>
      <x:c r="B99" s="9" t="n">
        <x:f>IF(ISNUMBER('SG Reference'!B101),'SG Reference'!B101,"")</x:f>
        <x:v>11</x:v>
      </x:c>
      <x:c r="C99" s="8" t="str">
        <x:v>Title variation — review</x:v>
      </x:c>
      <x:c r="D99" s="8" t="str">
        <x:v>NUTRITIONIST-DIETITIAN I</x:v>
      </x:c>
      <x:c r="E99" s="8" t="n">
        <x:v>183</x:v>
      </x:c>
    </x:row>
    <x:row r="100" ht="30" customHeight="1">
      <x:c r="A100" s="8" t="str">
        <x:v>NUTRITIONIST DIETITIAN II</x:v>
      </x:c>
      <x:c r="B100" s="9" t="n">
        <x:f>IF(ISNUMBER('SG Reference'!B102),'SG Reference'!B102,"")</x:f>
        <x:v>15</x:v>
      </x:c>
      <x:c r="C100" s="8" t="str">
        <x:v>Title variation — review</x:v>
      </x:c>
      <x:c r="D100" s="8" t="str">
        <x:v>NUTRITIONIST-DIETITIAN II</x:v>
      </x:c>
      <x:c r="E100" s="8" t="n">
        <x:v>184</x:v>
      </x:c>
    </x:row>
    <x:row r="101" ht="30" customHeight="1">
      <x:c r="A101" s="8" t="str">
        <x:v>NUTRITIONIST DIETITIAN III</x:v>
      </x:c>
      <x:c r="B101" s="9" t="n">
        <x:f>IF(ISNUMBER('SG Reference'!B103),'SG Reference'!B103,"")</x:f>
        <x:v>18</x:v>
      </x:c>
      <x:c r="C101" s="8" t="str">
        <x:v>Title variation — review</x:v>
      </x:c>
      <x:c r="D101" s="8" t="str">
        <x:v>NUTRITIONIST-DIETITIAN III</x:v>
      </x:c>
      <x:c r="E101" s="8" t="n">
        <x:v>185</x:v>
      </x:c>
    </x:row>
    <x:row r="102" ht="30" customHeight="1">
      <x:c r="A102" s="8" t="str">
        <x:v>NUTRITIONIST DIETITIAN IV</x:v>
      </x:c>
      <x:c r="B102" s="9" t="n">
        <x:f>IF(ISNUMBER('SG Reference'!B104),'SG Reference'!B104,"")</x:f>
        <x:v>20</x:v>
      </x:c>
      <x:c r="C102" s="8" t="str">
        <x:v>Title variation — review</x:v>
      </x:c>
      <x:c r="D102" s="8" t="str">
        <x:v>NUTRITIONIST-DIETITIAN IV</x:v>
      </x:c>
      <x:c r="E102" s="8" t="n">
        <x:v>186</x:v>
      </x:c>
    </x:row>
    <x:row r="103" ht="30" customHeight="1">
      <x:c r="A103" s="8" t="str">
        <x:v>NUTRITIONIST DIETITIAN V</x:v>
      </x:c>
      <x:c r="B103" s="9" t="n">
        <x:f>IF(ISNUMBER('SG Reference'!B105),'SG Reference'!B105,"")</x:f>
        <x:v>22</x:v>
      </x:c>
      <x:c r="C103" s="8" t="str">
        <x:v>Title variation — review</x:v>
      </x:c>
      <x:c r="D103" s="8" t="str">
        <x:v>NUTRITIONIST-DIETITIAN V</x:v>
      </x:c>
      <x:c r="E103" s="8" t="n">
        <x:v>187</x:v>
      </x:c>
    </x:row>
    <x:row r="104" ht="30" customHeight="1">
      <x:c r="A104" s="8" t="str">
        <x:v>OCCUPATIONAL THERAPIST I</x:v>
      </x:c>
      <x:c r="B104" s="9" t="n">
        <x:f>IF(ISNUMBER('SG Reference'!B106),'SG Reference'!B106,"")</x:f>
        <x:v>11</x:v>
      </x:c>
      <x:c r="C104" s="8" t="str">
        <x:v>Exact title</x:v>
      </x:c>
      <x:c r="D104" s="8" t="str">
        <x:v>OCCUPATIONAL THERAPIST I</x:v>
      </x:c>
      <x:c r="E104" s="8" t="n">
        <x:v>188</x:v>
      </x:c>
    </x:row>
    <x:row r="105" ht="30" customHeight="1">
      <x:c r="A105" s="8" t="str">
        <x:v>OCCUPATIONAL THERAPIST IV</x:v>
      </x:c>
      <x:c r="B105" s="9" t="n">
        <x:f>IF(ISNUMBER('SG Reference'!B107),'SG Reference'!B107,"")</x:f>
        <x:v>22</x:v>
      </x:c>
      <x:c r="C105" s="8" t="str">
        <x:v>Exact title</x:v>
      </x:c>
      <x:c r="D105" s="8" t="str">
        <x:v>OCCUPATIONAL THERAPIST IV</x:v>
      </x:c>
      <x:c r="E105" s="8" t="n">
        <x:v>189</x:v>
      </x:c>
    </x:row>
    <x:row r="106" ht="30" customHeight="1">
      <x:c r="A106" s="8" t="str">
        <x:v>PHARMACIST I</x:v>
      </x:c>
      <x:c r="B106" s="9" t="n">
        <x:f>IF(ISNUMBER('SG Reference'!B108),'SG Reference'!B108,"")</x:f>
        <x:v>11</x:v>
      </x:c>
      <x:c r="C106" s="8" t="str">
        <x:v>Exact title</x:v>
      </x:c>
      <x:c r="D106" s="8" t="str">
        <x:v>PHARMACIST I</x:v>
      </x:c>
      <x:c r="E106" s="8" t="n">
        <x:v>190</x:v>
      </x:c>
    </x:row>
    <x:row r="107" ht="30" customHeight="1">
      <x:c r="A107" s="8" t="str">
        <x:v>PHARMACIST II</x:v>
      </x:c>
      <x:c r="B107" s="9" t="n">
        <x:f>IF(ISNUMBER('SG Reference'!B109),'SG Reference'!B109,"")</x:f>
        <x:v>15</x:v>
      </x:c>
      <x:c r="C107" s="8" t="str">
        <x:v>Exact title</x:v>
      </x:c>
      <x:c r="D107" s="8" t="str">
        <x:v>PHARMACIST II</x:v>
      </x:c>
      <x:c r="E107" s="8" t="n">
        <x:v>191</x:v>
      </x:c>
    </x:row>
    <x:row r="108" ht="30" customHeight="1">
      <x:c r="A108" s="8" t="str">
        <x:v>PHARMACIST III</x:v>
      </x:c>
      <x:c r="B108" s="9" t="n">
        <x:f>IF(ISNUMBER('SG Reference'!B110),'SG Reference'!B110,"")</x:f>
        <x:v>18</x:v>
      </x:c>
      <x:c r="C108" s="8" t="str">
        <x:v>Exact title</x:v>
      </x:c>
      <x:c r="D108" s="8" t="str">
        <x:v>PHARMACIST III</x:v>
      </x:c>
      <x:c r="E108" s="8" t="n">
        <x:v>192</x:v>
      </x:c>
    </x:row>
    <x:row r="109" ht="30" customHeight="1">
      <x:c r="A109" s="8" t="str">
        <x:v>PHARMACIST IV</x:v>
      </x:c>
      <x:c r="B109" s="9" t="n">
        <x:f>IF(ISNUMBER('SG Reference'!B111),'SG Reference'!B111,"")</x:f>
        <x:v>20</x:v>
      </x:c>
      <x:c r="C109" s="8" t="str">
        <x:v>Exact title</x:v>
      </x:c>
      <x:c r="D109" s="8" t="str">
        <x:v>PHARMACIST IV</x:v>
      </x:c>
      <x:c r="E109" s="8" t="n">
        <x:v>193</x:v>
      </x:c>
    </x:row>
    <x:row r="110" ht="30" customHeight="1">
      <x:c r="A110" s="8" t="str">
        <x:v>PHARMACIST V</x:v>
      </x:c>
      <x:c r="B110" s="9" t="n">
        <x:f>IF(ISNUMBER('SG Reference'!B112),'SG Reference'!B112,"")</x:f>
        <x:v>22</x:v>
      </x:c>
      <x:c r="C110" s="8" t="str">
        <x:v>Exact title</x:v>
      </x:c>
      <x:c r="D110" s="8" t="str">
        <x:v>PHARMACIST V</x:v>
      </x:c>
      <x:c r="E110" s="8" t="n">
        <x:v>194</x:v>
      </x:c>
    </x:row>
    <x:row r="111" ht="30" customHeight="1">
      <x:c r="A111" s="8" t="str">
        <x:v>PHYSICAL THERAPIST I</x:v>
      </x:c>
      <x:c r="B111" s="9" t="n">
        <x:f>IF(ISNUMBER('SG Reference'!B113),'SG Reference'!B113,"")</x:f>
        <x:v>11</x:v>
      </x:c>
      <x:c r="C111" s="8" t="str">
        <x:v>Exact title</x:v>
      </x:c>
      <x:c r="D111" s="8" t="str">
        <x:v>PHYSICAL THERAPIST I</x:v>
      </x:c>
      <x:c r="E111" s="8" t="n">
        <x:v>195</x:v>
      </x:c>
    </x:row>
    <x:row r="112" ht="30" customHeight="1">
      <x:c r="A112" s="8" t="str">
        <x:v>PHYSICAL THERAPIST II</x:v>
      </x:c>
      <x:c r="B112" s="9" t="n">
        <x:f>IF(ISNUMBER('SG Reference'!B114),'SG Reference'!B114,"")</x:f>
        <x:v>15</x:v>
      </x:c>
      <x:c r="C112" s="8" t="str">
        <x:v>Exact title</x:v>
      </x:c>
      <x:c r="D112" s="8" t="str">
        <x:v>PHYSICAL THERAPIST II</x:v>
      </x:c>
      <x:c r="E112" s="8" t="n">
        <x:v>196</x:v>
      </x:c>
    </x:row>
    <x:row r="113" ht="30" customHeight="1">
      <x:c r="A113" s="8" t="str">
        <x:v>PHYSICAL THERAPIST III</x:v>
      </x:c>
      <x:c r="B113" s="9" t="n">
        <x:f>IF(ISNUMBER('SG Reference'!B115),'SG Reference'!B115,"")</x:f>
        <x:v>18</x:v>
      </x:c>
      <x:c r="C113" s="8" t="str">
        <x:v>Exact title</x:v>
      </x:c>
      <x:c r="D113" s="8" t="str">
        <x:v>PHYSICAL THERAPIST III</x:v>
      </x:c>
      <x:c r="E113" s="8" t="n">
        <x:v>197</x:v>
      </x:c>
    </x:row>
    <x:row r="114" ht="30" customHeight="1">
      <x:c r="A114" s="8" t="str">
        <x:v>PHYSICAL THERAPIST IV</x:v>
      </x:c>
      <x:c r="B114" s="9" t="n">
        <x:f>IF(ISNUMBER('SG Reference'!B116),'SG Reference'!B116,"")</x:f>
        <x:v>22</x:v>
      </x:c>
      <x:c r="C114" s="8" t="str">
        <x:v>Exact title</x:v>
      </x:c>
      <x:c r="D114" s="8" t="str">
        <x:v>PHYSICAL THERAPIST IV</x:v>
      </x:c>
      <x:c r="E114" s="8" t="n">
        <x:v>198</x:v>
      </x:c>
    </x:row>
    <x:row r="115" ht="30" customHeight="1">
      <x:c r="A115" s="8" t="str">
        <x:v>PHYSICAL THERAPIST TECHNICIAN I</x:v>
      </x:c>
      <x:c r="B115" s="9" t="n">
        <x:f>IF(ISNUMBER('SG Reference'!B117),'SG Reference'!B117,"")</x:f>
        <x:v>6</x:v>
      </x:c>
      <x:c r="C115" s="8" t="str">
        <x:v>Title variation — review</x:v>
      </x:c>
      <x:c r="D115" s="8" t="str">
        <x:v>PHYSICAL THERAPY TECHNICIAN I</x:v>
      </x:c>
      <x:c r="E115" s="8" t="n">
        <x:v>199</x:v>
      </x:c>
    </x:row>
    <x:row r="116" ht="30" customHeight="1">
      <x:c r="A116" s="8" t="str">
        <x:v>PHYSICAL THERAPIST TECHNICIAN II</x:v>
      </x:c>
      <x:c r="B116" s="9" t="n">
        <x:f>IF(ISNUMBER('SG Reference'!B118),'SG Reference'!B118,"")</x:f>
        <x:v>8</x:v>
      </x:c>
      <x:c r="C116" s="8" t="str">
        <x:v>Title variation — review</x:v>
      </x:c>
      <x:c r="D116" s="8" t="str">
        <x:v>PHYSICAL THERAPY TECHNICIAN II</x:v>
      </x:c>
      <x:c r="E116" s="8" t="n">
        <x:v>200</x:v>
      </x:c>
    </x:row>
    <x:row r="117" ht="30" customHeight="1">
      <x:c r="A117" s="8" t="str">
        <x:v>PLANNING OFFICER I</x:v>
      </x:c>
      <x:c r="B117" s="9" t="n">
        <x:f>IF(ISNUMBER('SG Reference'!B119),'SG Reference'!B119,"")</x:f>
        <x:v>11</x:v>
      </x:c>
      <x:c r="C117" s="8" t="str">
        <x:v>Exact title</x:v>
      </x:c>
      <x:c r="D117" s="8" t="str">
        <x:v>PLANNING OFFICER I</x:v>
      </x:c>
      <x:c r="E117" s="8" t="n">
        <x:v>201</x:v>
      </x:c>
    </x:row>
    <x:row r="118" ht="30" customHeight="1">
      <x:c r="A118" s="8" t="str">
        <x:v>PLANNING OFFICER III</x:v>
      </x:c>
      <x:c r="B118" s="9" t="n">
        <x:f>IF(ISNUMBER('SG Reference'!B120),'SG Reference'!B120,"")</x:f>
        <x:v>18</x:v>
      </x:c>
      <x:c r="C118" s="8" t="str">
        <x:v>Exact title</x:v>
      </x:c>
      <x:c r="D118" s="8" t="str">
        <x:v>PLANNING OFFICER III</x:v>
      </x:c>
      <x:c r="E118" s="8" t="n">
        <x:v>202</x:v>
      </x:c>
    </x:row>
    <x:row r="119" ht="30" customHeight="1">
      <x:c r="A119" s="8" t="str">
        <x:v>PSYCHOLOGIST II</x:v>
      </x:c>
      <x:c r="B119" s="9" t="n">
        <x:f>IF(ISNUMBER('SG Reference'!B121),'SG Reference'!B121,"")</x:f>
        <x:v>18</x:v>
      </x:c>
      <x:c r="C119" s="8" t="str">
        <x:v>Exact title</x:v>
      </x:c>
      <x:c r="D119" s="8" t="str">
        <x:v>PSYCHOLOGIST II</x:v>
      </x:c>
      <x:c r="E119" s="8" t="n">
        <x:v>203</x:v>
      </x:c>
    </x:row>
    <x:row r="120" ht="30" customHeight="1">
      <x:c r="A120" s="8" t="str">
        <x:v>PSYCHOLOGIST III</x:v>
      </x:c>
      <x:c r="B120" s="9" t="n">
        <x:f>IF(ISNUMBER('SG Reference'!B122),'SG Reference'!B122,"")</x:f>
        <x:v>20</x:v>
      </x:c>
      <x:c r="C120" s="8" t="str">
        <x:v>Exact title</x:v>
      </x:c>
      <x:c r="D120" s="8" t="str">
        <x:v>PSYCHOLOGIST III</x:v>
      </x:c>
      <x:c r="E120" s="8" t="n">
        <x:v>204</x:v>
      </x:c>
    </x:row>
    <x:row r="121" ht="30" customHeight="1">
      <x:c r="A121" s="8" t="str">
        <x:v>RADIOLOGIC TECHNOLOGIST I</x:v>
      </x:c>
      <x:c r="B121" s="9" t="n">
        <x:f>IF(ISNUMBER('SG Reference'!B123),'SG Reference'!B123,"")</x:f>
        <x:v>11</x:v>
      </x:c>
      <x:c r="C121" s="8" t="str">
        <x:v>Exact title</x:v>
      </x:c>
      <x:c r="D121" s="8" t="str">
        <x:v>RADIOLOGIC TECHNOLOGIST I</x:v>
      </x:c>
      <x:c r="E121" s="8" t="n">
        <x:v>205</x:v>
      </x:c>
    </x:row>
    <x:row r="122" ht="30" customHeight="1">
      <x:c r="A122" s="8" t="str">
        <x:v>RADIOLOGIC TECHNOLOGIST II</x:v>
      </x:c>
      <x:c r="B122" s="9" t="n">
        <x:f>IF(ISNUMBER('SG Reference'!B124),'SG Reference'!B124,"")</x:f>
        <x:v>15</x:v>
      </x:c>
      <x:c r="C122" s="8" t="str">
        <x:v>Exact title</x:v>
      </x:c>
      <x:c r="D122" s="8" t="str">
        <x:v>RADIOLOGIC TECHNOLOGIST II</x:v>
      </x:c>
      <x:c r="E122" s="8" t="n">
        <x:v>206</x:v>
      </x:c>
    </x:row>
    <x:row r="123" ht="30" customHeight="1">
      <x:c r="A123" s="8" t="str">
        <x:v>RADIOLOGIC TECHNOLOGIST III</x:v>
      </x:c>
      <x:c r="B123" s="9" t="n">
        <x:f>IF(ISNUMBER('SG Reference'!B125),'SG Reference'!B125,"")</x:f>
        <x:v>18</x:v>
      </x:c>
      <x:c r="C123" s="8" t="str">
        <x:v>Exact title</x:v>
      </x:c>
      <x:c r="D123" s="8" t="str">
        <x:v>RADIOLOGIC TECHNOLOGIST III</x:v>
      </x:c>
      <x:c r="E123" s="8" t="n">
        <x:v>207</x:v>
      </x:c>
    </x:row>
    <x:row r="124" ht="30" customHeight="1">
      <x:c r="A124" s="8" t="str">
        <x:v>RADIOLOGIC TECHNOLOGIST IV</x:v>
      </x:c>
      <x:c r="B124" s="9" t="n">
        <x:f>IF(ISNUMBER('SG Reference'!B126),'SG Reference'!B126,"")</x:f>
        <x:v>20</x:v>
      </x:c>
      <x:c r="C124" s="8" t="str">
        <x:v>Exact title</x:v>
      </x:c>
      <x:c r="D124" s="8" t="str">
        <x:v>RADIOLOGIC TECHNOLOGIST IV</x:v>
      </x:c>
      <x:c r="E124" s="8" t="n">
        <x:v>208</x:v>
      </x:c>
    </x:row>
    <x:row r="125" ht="30" customHeight="1">
      <x:c r="A125" s="8" t="str">
        <x:v>RADIOLOGIC TECHNOLOGIST V</x:v>
      </x:c>
      <x:c r="B125" s="9" t="n">
        <x:f>IF(ISNUMBER('SG Reference'!B127),'SG Reference'!B127,"")</x:f>
        <x:v>22</x:v>
      </x:c>
      <x:c r="C125" s="8" t="str">
        <x:v>Exact title</x:v>
      </x:c>
      <x:c r="D125" s="8" t="str">
        <x:v>RADIOLOGIC TECHNOLOGIST V</x:v>
      </x:c>
      <x:c r="E125" s="8" t="n">
        <x:v>209</x:v>
      </x:c>
    </x:row>
    <x:row r="126" ht="30" customHeight="1">
      <x:c r="A126" s="8" t="str">
        <x:v>RESPIRATORY THERAPIST I</x:v>
      </x:c>
      <x:c r="B126" s="9" t="n">
        <x:f>IF(ISNUMBER('SG Reference'!B128),'SG Reference'!B128,"")</x:f>
        <x:v>10</x:v>
      </x:c>
      <x:c r="C126" s="8" t="str">
        <x:v>Exact title</x:v>
      </x:c>
      <x:c r="D126" s="8" t="str">
        <x:v>RESPIRATORY THERAPIST I</x:v>
      </x:c>
      <x:c r="E126" s="8" t="n">
        <x:v>210</x:v>
      </x:c>
    </x:row>
    <x:row r="127" ht="30" customHeight="1">
      <x:c r="A127" s="8" t="str">
        <x:v>RESPIRATORY THERAPIST II</x:v>
      </x:c>
      <x:c r="B127" s="9" t="n">
        <x:f>IF(ISNUMBER('SG Reference'!B129),'SG Reference'!B129,"")</x:f>
        <x:v>14</x:v>
      </x:c>
      <x:c r="C127" s="8" t="str">
        <x:v>Exact title</x:v>
      </x:c>
      <x:c r="D127" s="8" t="str">
        <x:v>RESPIRATORY THERAPIST II</x:v>
      </x:c>
      <x:c r="E127" s="8" t="n">
        <x:v>211</x:v>
      </x:c>
    </x:row>
    <x:row r="128" ht="30" customHeight="1">
      <x:c r="A128" s="8" t="str">
        <x:v>RESPIRATORY THERAPIST III</x:v>
      </x:c>
      <x:c r="B128" s="9" t="n">
        <x:f>IF(ISNUMBER('SG Reference'!B130),'SG Reference'!B130,"")</x:f>
        <x:v>17</x:v>
      </x:c>
      <x:c r="C128" s="8" t="str">
        <x:v>Exact title</x:v>
      </x:c>
      <x:c r="D128" s="8" t="str">
        <x:v>RESPIRATORY THERAPIST III</x:v>
      </x:c>
      <x:c r="E128" s="8" t="n">
        <x:v>212</x:v>
      </x:c>
    </x:row>
    <x:row r="129" ht="30" customHeight="1">
      <x:c r="A129" s="8" t="str">
        <x:v>SEAMSTRESS</x:v>
      </x:c>
      <x:c r="B129" s="9" t="n">
        <x:f>IF(ISNUMBER('SG Reference'!B131),'SG Reference'!B131,"")</x:f>
        <x:v>2</x:v>
      </x:c>
      <x:c r="C129" s="8" t="str">
        <x:v>Exact title</x:v>
      </x:c>
      <x:c r="D129" s="8" t="str">
        <x:v>SEAMSTRESS</x:v>
      </x:c>
      <x:c r="E129" s="8" t="n">
        <x:v>213</x:v>
      </x:c>
    </x:row>
    <x:row r="130" ht="30" customHeight="1">
      <x:c r="A130" s="8" t="str">
        <x:v>SECURITY GUARD I</x:v>
      </x:c>
      <x:c r="B130" s="9" t="n">
        <x:f>IF(ISNUMBER('SG Reference'!B132),'SG Reference'!B132,"")</x:f>
        <x:v>3</x:v>
      </x:c>
      <x:c r="C130" s="8" t="str">
        <x:v>Exact title</x:v>
      </x:c>
      <x:c r="D130" s="8" t="str">
        <x:v>SECURITY GUARD I</x:v>
      </x:c>
      <x:c r="E130" s="8" t="n">
        <x:v>214</x:v>
      </x:c>
    </x:row>
    <x:row r="131" ht="30" customHeight="1">
      <x:c r="A131" s="8" t="str">
        <x:v>SECURITY GUARD II</x:v>
      </x:c>
      <x:c r="B131" s="9" t="n">
        <x:f>IF(ISNUMBER('SG Reference'!B133),'SG Reference'!B133,"")</x:f>
        <x:v>5</x:v>
      </x:c>
      <x:c r="C131" s="8" t="str">
        <x:v>Exact title</x:v>
      </x:c>
      <x:c r="D131" s="8" t="str">
        <x:v>SECURITY GUARD II</x:v>
      </x:c>
      <x:c r="E131" s="8" t="n">
        <x:v>215</x:v>
      </x:c>
    </x:row>
    <x:row r="132" ht="30" customHeight="1">
      <x:c r="A132" s="8" t="str">
        <x:v>SENIOR HEALTH PROGRAM OFFICER</x:v>
      </x:c>
      <x:c r="B132" s="9" t="n">
        <x:f>IF(ISNUMBER('SG Reference'!B134),'SG Reference'!B134,"")</x:f>
        <x:v>18</x:v>
      </x:c>
      <x:c r="C132" s="8" t="str">
        <x:v>Exact title</x:v>
      </x:c>
      <x:c r="D132" s="8" t="str">
        <x:v>SENIOR HEALTH PROGRAM OFFICER</x:v>
      </x:c>
      <x:c r="E132" s="8" t="n">
        <x:v>216</x:v>
      </x:c>
    </x:row>
    <x:row r="133" ht="30" customHeight="1">
      <x:c r="A133" s="8" t="str">
        <x:v>SOCIAL WELFARE ASSISTANT</x:v>
      </x:c>
      <x:c r="B133" s="9" t="n">
        <x:f>IF(ISNUMBER('SG Reference'!B135),'SG Reference'!B135,"")</x:f>
        <x:v>8</x:v>
      </x:c>
      <x:c r="C133" s="8" t="str">
        <x:v>Exact title</x:v>
      </x:c>
      <x:c r="D133" s="8" t="str">
        <x:v>SOCIAL WELFARE ASSISTANT</x:v>
      </x:c>
      <x:c r="E133" s="8" t="n">
        <x:v>217</x:v>
      </x:c>
    </x:row>
    <x:row r="134" ht="30" customHeight="1">
      <x:c r="A134" s="8" t="str">
        <x:v>SOCIAL WELFARE OFFICER I</x:v>
      </x:c>
      <x:c r="B134" s="9" t="n">
        <x:f>IF(ISNUMBER('SG Reference'!B136),'SG Reference'!B136,"")</x:f>
        <x:v>11</x:v>
      </x:c>
      <x:c r="C134" s="8" t="str">
        <x:v>Exact title</x:v>
      </x:c>
      <x:c r="D134" s="8" t="str">
        <x:v>SOCIAL WELFARE OFFICER I</x:v>
      </x:c>
      <x:c r="E134" s="8" t="n">
        <x:v>218</x:v>
      </x:c>
    </x:row>
    <x:row r="135" ht="30" customHeight="1">
      <x:c r="A135" s="8" t="str">
        <x:v>SOCIAL WELFARE OFFICER II</x:v>
      </x:c>
      <x:c r="B135" s="9" t="n">
        <x:f>IF(ISNUMBER('SG Reference'!B137),'SG Reference'!B137,"")</x:f>
        <x:v>15</x:v>
      </x:c>
      <x:c r="C135" s="8" t="str">
        <x:v>Exact title</x:v>
      </x:c>
      <x:c r="D135" s="8" t="str">
        <x:v>SOCIAL WELFARE OFFICER II</x:v>
      </x:c>
      <x:c r="E135" s="8" t="n">
        <x:v>219</x:v>
      </x:c>
    </x:row>
    <x:row r="136" ht="30" customHeight="1">
      <x:c r="A136" s="8" t="str">
        <x:v>SOCIAL WELFARE OFFICER III</x:v>
      </x:c>
      <x:c r="B136" s="9" t="n">
        <x:f>IF(ISNUMBER('SG Reference'!B138),'SG Reference'!B138,"")</x:f>
        <x:v>18</x:v>
      </x:c>
      <x:c r="C136" s="8" t="str">
        <x:v>Exact title</x:v>
      </x:c>
      <x:c r="D136" s="8" t="str">
        <x:v>SOCIAL WELFARE OFFICER III</x:v>
      </x:c>
      <x:c r="E136" s="8" t="n">
        <x:v>220</x:v>
      </x:c>
    </x:row>
    <x:row r="137" ht="30" customHeight="1">
      <x:c r="A137" s="8" t="str">
        <x:v>SOCIAL WELFARE OFFICER IV</x:v>
      </x:c>
      <x:c r="B137" s="9" t="n">
        <x:f>IF(ISNUMBER('SG Reference'!B139),'SG Reference'!B139,"")</x:f>
        <x:v>22</x:v>
      </x:c>
      <x:c r="C137" s="8" t="str">
        <x:v>Exact title</x:v>
      </x:c>
      <x:c r="D137" s="8" t="str">
        <x:v>SOCIAL WELFARE OFFICER IV</x:v>
      </x:c>
      <x:c r="E137" s="8" t="n">
        <x:v>221</x:v>
      </x:c>
    </x:row>
    <x:row r="138" ht="30" customHeight="1">
      <x:c r="A138" s="8" t="str">
        <x:v>STATISTICIAN I</x:v>
      </x:c>
      <x:c r="B138" s="9" t="n">
        <x:f>IF(ISNUMBER('SG Reference'!B140),'SG Reference'!B140,"")</x:f>
        <x:v>11</x:v>
      </x:c>
      <x:c r="C138" s="8" t="str">
        <x:v>Exact title</x:v>
      </x:c>
      <x:c r="D138" s="8" t="str">
        <x:v>STATISTICIAN I</x:v>
      </x:c>
      <x:c r="E138" s="8" t="n">
        <x:v>222</x:v>
      </x:c>
    </x:row>
    <x:row r="139" ht="30" customHeight="1">
      <x:c r="A139" s="8" t="str">
        <x:v>STATISTICIAN II</x:v>
      </x:c>
      <x:c r="B139" s="9" t="n">
        <x:f>IF(ISNUMBER('SG Reference'!B141),'SG Reference'!B141,"")</x:f>
        <x:v>15</x:v>
      </x:c>
      <x:c r="C139" s="8" t="str">
        <x:v>Exact title</x:v>
      </x:c>
      <x:c r="D139" s="8" t="str">
        <x:v>STATISTICIAN II</x:v>
      </x:c>
      <x:c r="E139" s="8" t="n">
        <x:v>223</x:v>
      </x:c>
    </x:row>
    <x:row r="140" ht="30" customHeight="1">
      <x:c r="A140" s="8" t="str">
        <x:v>STATISTICIAN III</x:v>
      </x:c>
      <x:c r="B140" s="9" t="n">
        <x:f>IF(ISNUMBER('SG Reference'!B142),'SG Reference'!B142,"")</x:f>
        <x:v>18</x:v>
      </x:c>
      <x:c r="C140" s="8" t="str">
        <x:v>Exact title</x:v>
      </x:c>
      <x:c r="D140" s="8" t="str">
        <x:v>STATISTICIAN III</x:v>
      </x:c>
      <x:c r="E140" s="8" t="n">
        <x:v>224</x:v>
      </x:c>
    </x:row>
    <x:row r="141" ht="30" customHeight="1">
      <x:c r="A141" s="8" t="str">
        <x:v>SUPERVISING ADMINISTRATIVE OFFICER</x:v>
      </x:c>
      <x:c r="B141" s="9" t="n">
        <x:f>IF(ISNUMBER('SG Reference'!B143),'SG Reference'!B143,"")</x:f>
        <x:v>22</x:v>
      </x:c>
      <x:c r="C141" s="8" t="str">
        <x:v>Exact title</x:v>
      </x:c>
      <x:c r="D141" s="8" t="str">
        <x:v>SUPERVISING ADMINISTRATIVE OFFICER</x:v>
      </x:c>
      <x:c r="E141" s="8" t="n">
        <x:v>225</x:v>
      </x:c>
    </x:row>
    <x:row r="142" ht="30" customHeight="1">
      <x:c r="A142" s="8" t="str">
        <x:v>SUPERVISING HEALTH PROGRAM OFFICER</x:v>
      </x:c>
      <x:c r="B142" s="9" t="n">
        <x:f>IF(ISNUMBER('SG Reference'!B144),'SG Reference'!B144,"")</x:f>
        <x:v>22</x:v>
      </x:c>
      <x:c r="C142" s="8" t="str">
        <x:v>Exact title</x:v>
      </x:c>
      <x:c r="D142" s="8" t="str">
        <x:v>SUPERVISING HEALTH PROGRAM OFFICER</x:v>
      </x:c>
      <x:c r="E142" s="8" t="n">
        <x:v>226</x:v>
      </x:c>
    </x:row>
    <x:row r="143" ht="30" customHeight="1">
      <x:c r="A143" s="8" t="str">
        <x:v>TRAINING ASSISTANT</x:v>
      </x:c>
      <x:c r="B143" s="9" t="n">
        <x:f>IF(ISNUMBER('SG Reference'!B145),'SG Reference'!B145,"")</x:f>
        <x:v>8</x:v>
      </x:c>
      <x:c r="C143" s="8" t="str">
        <x:v>Exact title</x:v>
      </x:c>
      <x:c r="D143" s="8" t="str">
        <x:v>TRAINING ASSISTANT</x:v>
      </x:c>
      <x:c r="E143" s="8" t="n">
        <x:v>227</x:v>
      </x:c>
    </x:row>
    <x:row r="144" ht="30" customHeight="1">
      <x:c r="A144" s="8" t="str">
        <x:v>TRAINING SPECIALIST II</x:v>
      </x:c>
      <x:c r="B144" s="9" t="n">
        <x:f>IF(ISNUMBER('SG Reference'!B146),'SG Reference'!B146,"")</x:f>
        <x:v>15</x:v>
      </x:c>
      <x:c r="C144" s="8" t="str">
        <x:v>Exact title</x:v>
      </x:c>
      <x:c r="D144" s="8" t="str">
        <x:v>TRAINING SPECIALIST II</x:v>
      </x:c>
      <x:c r="E144" s="8" t="n">
        <x:v>228</x:v>
      </x:c>
    </x:row>
    <x:row r="145" ht="30" customHeight="1">
      <x:c r="A145" s="8" t="str">
        <x:v>TRAINING SPECIALIST IV</x:v>
      </x:c>
      <x:c r="B145" s="9" t="n">
        <x:f>IF(ISNUMBER('SG Reference'!B147),'SG Reference'!B147,"")</x:f>
        <x:v>22</x:v>
      </x:c>
      <x:c r="C145" s="8" t="str">
        <x:v>Exact title</x:v>
      </x:c>
      <x:c r="D145" s="8" t="str">
        <x:v>TRAINING SPECIALIST IV</x:v>
      </x:c>
      <x:c r="E145" s="8" t="n">
        <x:v>229</x:v>
      </x:c>
    </x:row>
    <x:row r="146" ht="30" customHeight="1">
      <x:c r="A146" s="8" t="str">
        <x:v>WARD ASSISTANT</x:v>
      </x:c>
      <x:c r="B146" s="9" t="n">
        <x:f>IF(ISNUMBER('SG Reference'!B148),'SG Reference'!B148,"")</x:f>
        <x:v>7</x:v>
      </x:c>
      <x:c r="C146" s="8" t="str">
        <x:v>Exact title</x:v>
      </x:c>
      <x:c r="D146" s="8" t="str">
        <x:v>WARD ASSISTANT</x:v>
      </x:c>
      <x:c r="E146" s="8" t="n">
        <x:v>230</x:v>
      </x:c>
    </x:row>
    <x:row r="147" ht="30" customHeight="1">
      <x:c r="A147" s="8" t="str">
        <x:v>WAREHOUSEMAN III</x:v>
      </x:c>
      <x:c r="B147" s="9" t="n">
        <x:f>IF(ISNUMBER('SG Reference'!B149),'SG Reference'!B149,"")</x:f>
        <x:v>11</x:v>
      </x:c>
      <x:c r="C147" s="8" t="str">
        <x:v>Exact title</x:v>
      </x:c>
      <x:c r="D147" s="8" t="str">
        <x:v>WAREHOUSEMAN III</x:v>
      </x:c>
      <x:c r="E147" s="8" t="n">
        <x:v>231</x:v>
      </x:c>
    </x:row>
    <x:row r="148">
      <x:c r="A148" s="1"/>
      <x:c r="B148" s="1"/>
      <x:c r="C148" s="1"/>
      <x:c r="D148" s="1"/>
      <x:c r="E148" s="1"/>
    </x:row>
  </x:sheetData>
  <x:conditionalFormatting sqref="C9:C147">
    <x:cfRule type="containsText" dxfId="0" priority="1" operator="containsText" text="review"/>
    <x:cfRule type="containsText" dxfId="1" priority="2" operator="containsText" text="unresolved"/>
  </x:conditionalFormatting>
  <x:pageMargins left="0.7" right="0.7" top="0.75" bottom="0.75" header="0.3" footer="0.3"/>
  <x:tableParts count="1">
    <x:tablePart xmlns:r="http://schemas.openxmlformats.org/officeDocument/2006/relationships" r:id="R0240ca8d709548b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62" hidden="0" customWidth="1"/>
    <x:col min="2" max="2" width="16" hidden="0" customWidth="1"/>
    <x:col min="3" max="3" width="27" hidden="0" customWidth="1"/>
    <x:col min="4" max="4" width="48" hidden="0" customWidth="1"/>
    <x:col min="5" max="5" width="72" hidden="0" customWidth="1"/>
    <x:col min="6" max="6" width="85" hidden="0" customWidth="1"/>
  </x:cols>
  <x:sheetData>
    <x:row r="1">
      <x:c r="A1" s="1"/>
      <x:c r="B1" s="1"/>
      <x:c r="C1" s="1"/>
      <x:c r="D1" s="1"/>
      <x:c r="E1" s="1"/>
      <x:c r="F1" s="1"/>
    </x:row>
    <x:row r="2">
      <x:c r="A2" s="2" t="str">
        <x:v>Plantilla item salary-grade reference</x:v>
      </x:c>
      <x:c r="B2" s="1"/>
      <x:c r="C2" s="1"/>
      <x:c r="D2" s="1"/>
      <x:c r="E2" s="1"/>
      <x:c r="F2" s="1"/>
    </x:row>
    <x:row r="3">
      <x:c r="A3" s="1" t="str">
        <x:v>Source: Plantilla_Items_Official_SG_Review.xlsx, reviewed 23 September 2026.</x:v>
      </x:c>
      <x:c r="B3" s="1"/>
      <x:c r="C3" s="1"/>
      <x:c r="D3" s="1"/>
      <x:c r="E3" s="1"/>
      <x:c r="F3" s="1"/>
    </x:row>
    <x:row r="4">
      <x:c r="A4" s="1" t="str">
        <x:v>Grades, source notes and URLs copied from that workbook; no new official-source review.</x:v>
      </x:c>
      <x:c r="B4" s="1"/>
      <x:c r="C4" s="1"/>
      <x:c r="D4" s="1"/>
      <x:c r="E4" s="1"/>
      <x:c r="F4" s="1"/>
    </x:row>
    <x:row r="5">
      <x:c r="A5" s="1" t="str">
        <x:v>Reference uses DBM IOS 2022 plus newer notices; not every title has a 2025–2026 posting.</x:v>
      </x:c>
      <x:c r="B5" s="1"/>
      <x:c r="C5" s="1"/>
      <x:c r="D5" s="1"/>
      <x:c r="E5" s="1"/>
      <x:c r="F5" s="1"/>
    </x:row>
    <x:row r="6">
      <x:c r="A6" s="1" t="str">
        <x:v>Filter Current list status to see reference-only titles. “Confirm title” has no numeric SG.</x:v>
      </x:c>
      <x:c r="B6" s="1"/>
      <x:c r="C6" s="1"/>
      <x:c r="D6" s="1"/>
      <x:c r="E6" s="1"/>
      <x:c r="F6" s="1"/>
    </x:row>
    <x:row r="7">
      <x:c r="A7" s="1"/>
      <x:c r="B7" s="1"/>
      <x:c r="C7" s="1"/>
      <x:c r="D7" s="1"/>
      <x:c r="E7" s="1"/>
      <x:c r="F7" s="1"/>
    </x:row>
    <x:row r="8" ht="32" customHeight="1">
      <x:c r="A8" s="6" t="str">
        <x:v>Reference position title</x:v>
      </x:c>
      <x:c r="B8" s="6" t="str">
        <x:v>Reference SG</x:v>
      </x:c>
      <x:c r="C8" s="6" t="str">
        <x:v>Current list status</x:v>
      </x:c>
      <x:c r="D8" s="6" t="str">
        <x:v>Source reference</x:v>
      </x:c>
      <x:c r="E8" s="6" t="str">
        <x:v>Reference notes</x:v>
      </x:c>
      <x:c r="F8" s="6" t="str">
        <x:v>Official source URL</x:v>
      </x:c>
    </x:row>
    <x:row r="9" ht="30" customHeight="1">
      <x:c r="A9" s="8" t="str">
        <x:v>ACCOUNTANT I</x:v>
      </x:c>
      <x:c r="B9" s="9" t="n">
        <x:v>12</x:v>
      </x:c>
      <x:c r="C9" s="8" t="str">
        <x:v>Present</x:v>
      </x:c>
      <x:c r="D9" s="8" t="str">
        <x:v>DBM IOS 2022, PDF page 2</x:v>
      </x:c>
      <x:c r="E9" s="8" t="str"/>
      <x:c r="F9" s="8" t="str">
        <x:v>https://www.dbm.gov.ph/wp-content/uploads/OPCCB/IOS2022/4.%20VOLUME%20II.pdf#page=2</x:v>
      </x:c>
    </x:row>
    <x:row r="10" ht="30" customHeight="1">
      <x:c r="A10" s="8" t="str">
        <x:v>ACCOUNTANT II</x:v>
      </x:c>
      <x:c r="B10" s="9" t="n">
        <x:v>16</x:v>
      </x:c>
      <x:c r="C10" s="8" t="str">
        <x:v>Present</x:v>
      </x:c>
      <x:c r="D10" s="8" t="str">
        <x:v>DBM IOS 2022, PDF page 2</x:v>
      </x:c>
      <x:c r="E10" s="8" t="str"/>
      <x:c r="F10" s="8" t="str">
        <x:v>https://www.dbm.gov.ph/wp-content/uploads/OPCCB/IOS2022/4.%20VOLUME%20II.pdf#page=2</x:v>
      </x:c>
    </x:row>
    <x:row r="11" ht="30" customHeight="1">
      <x:c r="A11" s="8" t="str">
        <x:v>ACCOUNTANT III</x:v>
      </x:c>
      <x:c r="B11" s="9" t="n">
        <x:v>19</x:v>
      </x:c>
      <x:c r="C11" s="8" t="str">
        <x:v>Present</x:v>
      </x:c>
      <x:c r="D11" s="8" t="str">
        <x:v>DBM IOS 2022, PDF page 2</x:v>
      </x:c>
      <x:c r="E11" s="8" t="str"/>
      <x:c r="F11" s="8" t="str">
        <x:v>https://www.dbm.gov.ph/wp-content/uploads/OPCCB/IOS2022/4.%20VOLUME%20II.pdf#page=2</x:v>
      </x:c>
    </x:row>
    <x:row r="12" ht="30" customHeight="1">
      <x:c r="A12" s="8" t="str">
        <x:v>ACCOUNTANT IV</x:v>
      </x:c>
      <x:c r="B12" s="9" t="n">
        <x:v>22</x:v>
      </x:c>
      <x:c r="C12" s="8" t="str">
        <x:v>Present</x:v>
      </x:c>
      <x:c r="D12" s="8" t="str">
        <x:v>DBM IOS 2022, PDF page 2</x:v>
      </x:c>
      <x:c r="E12" s="8" t="str"/>
      <x:c r="F12" s="8" t="str">
        <x:v>https://www.dbm.gov.ph/wp-content/uploads/OPCCB/IOS2022/4.%20VOLUME%20II.pdf#page=2</x:v>
      </x:c>
    </x:row>
    <x:row r="13" ht="30" customHeight="1">
      <x:c r="A13" s="8" t="str">
        <x:v>ADMINISTRATIVE AIDE I</x:v>
      </x:c>
      <x:c r="B13" s="9" t="n">
        <x:v>1</x:v>
      </x:c>
      <x:c r="C13" s="8" t="str">
        <x:v>Present</x:v>
      </x:c>
      <x:c r="D13" s="8" t="str">
        <x:v>DBM IOS 2022, PDF page 2</x:v>
      </x:c>
      <x:c r="E13" s="8" t="str"/>
      <x:c r="F13" s="8" t="str">
        <x:v>https://www.dbm.gov.ph/wp-content/uploads/OPCCB/IOS2022/4.%20VOLUME%20II.pdf#page=2</x:v>
      </x:c>
    </x:row>
    <x:row r="14" ht="30" customHeight="1">
      <x:c r="A14" s="8" t="str">
        <x:v>ADMINISTRATIVE AIDE I (UTILITY WORKER I)</x:v>
      </x:c>
      <x:c r="B14" s="9" t="n">
        <x:v>1</x:v>
      </x:c>
      <x:c r="C14" s="8" t="str">
        <x:v>Present</x:v>
      </x:c>
      <x:c r="D14" s="8" t="str">
        <x:v>DBM IOS 2022, PDF page 2</x:v>
      </x:c>
      <x:c r="E14" s="8" t="str">
        <x:v>Grade follows the generic Administrative Aide rank. Parenthetical duty title retained.</x:v>
      </x:c>
      <x:c r="F14" s="8" t="str">
        <x:v>https://www.dbm.gov.ph/wp-content/uploads/OPCCB/IOS2022/4.%20VOLUME%20II.pdf#page=2</x:v>
      </x:c>
    </x:row>
    <x:row r="15" ht="30" customHeight="1">
      <x:c r="A15" s="8" t="str">
        <x:v>ADMINISTRATIVE AIDE II (CONSTRUCTION AND MAINTENANCE MAN)</x:v>
      </x:c>
      <x:c r="B15" s="9" t="n">
        <x:v>2</x:v>
      </x:c>
      <x:c r="C15" s="8" t="str">
        <x:v>Present</x:v>
      </x:c>
      <x:c r="D15" s="8" t="str">
        <x:v>DBM IOS 2022, PDF page 2</x:v>
      </x:c>
      <x:c r="E15" s="8" t="str">
        <x:v>Grade follows the generic Administrative Aide rank. Parenthetical duty title retained.</x:v>
      </x:c>
      <x:c r="F15" s="8" t="str">
        <x:v>https://www.dbm.gov.ph/wp-content/uploads/OPCCB/IOS2022/4.%20VOLUME%20II.pdf#page=2</x:v>
      </x:c>
    </x:row>
    <x:row r="16" ht="30" customHeight="1">
      <x:c r="A16" s="8" t="str">
        <x:v>ADMINISTRATIVE AIDE III</x:v>
      </x:c>
      <x:c r="B16" s="9" t="n">
        <x:v>3</x:v>
      </x:c>
      <x:c r="C16" s="8" t="str">
        <x:v>Present</x:v>
      </x:c>
      <x:c r="D16" s="8" t="str">
        <x:v>DBM IOS 2022, PDF page 2</x:v>
      </x:c>
      <x:c r="E16" s="8" t="str"/>
      <x:c r="F16" s="8" t="str">
        <x:v>https://www.dbm.gov.ph/wp-content/uploads/OPCCB/IOS2022/4.%20VOLUME%20II.pdf#page=2</x:v>
      </x:c>
    </x:row>
    <x:row r="17" ht="30" customHeight="1">
      <x:c r="A17" s="8" t="str">
        <x:v>ADMINISTRATIVE AIDE III (UTILITY WORKER II)</x:v>
      </x:c>
      <x:c r="B17" s="9" t="n">
        <x:v>3</x:v>
      </x:c>
      <x:c r="C17" s="8" t="str">
        <x:v>Present</x:v>
      </x:c>
      <x:c r="D17" s="8" t="str">
        <x:v>DBM IOS 2022, PDF page 2</x:v>
      </x:c>
      <x:c r="E17" s="8" t="str">
        <x:v>Grade follows the generic Administrative Aide rank. Parenthetical duty title retained.</x:v>
      </x:c>
      <x:c r="F17" s="8" t="str">
        <x:v>https://www.dbm.gov.ph/wp-content/uploads/OPCCB/IOS2022/4.%20VOLUME%20II.pdf#page=2</x:v>
      </x:c>
    </x:row>
    <x:row r="18" ht="30" customHeight="1">
      <x:c r="A18" s="8" t="str">
        <x:v>ADMINISTRATIVE AIDE IV</x:v>
      </x:c>
      <x:c r="B18" s="9" t="n">
        <x:v>4</x:v>
      </x:c>
      <x:c r="C18" s="8" t="str">
        <x:v>Present</x:v>
      </x:c>
      <x:c r="D18" s="8" t="str">
        <x:v>DBM IOS 2022, PDF page 2</x:v>
      </x:c>
      <x:c r="E18" s="8" t="str"/>
      <x:c r="F18" s="8" t="str">
        <x:v>https://www.dbm.gov.ph/wp-content/uploads/OPCCB/IOS2022/4.%20VOLUME%20II.pdf#page=2</x:v>
      </x:c>
    </x:row>
    <x:row r="19" ht="30" customHeight="1">
      <x:c r="A19" s="8" t="str">
        <x:v>ADMINISTRATIVE AIDE V</x:v>
      </x:c>
      <x:c r="B19" s="9" t="n">
        <x:v>5</x:v>
      </x:c>
      <x:c r="C19" s="8" t="str">
        <x:v>Present</x:v>
      </x:c>
      <x:c r="D19" s="8" t="str">
        <x:v>DBM IOS 2022, PDF page 2</x:v>
      </x:c>
      <x:c r="E19" s="8" t="str"/>
      <x:c r="F19" s="8" t="str">
        <x:v>https://www.dbm.gov.ph/wp-content/uploads/OPCCB/IOS2022/4.%20VOLUME%20II.pdf#page=2</x:v>
      </x:c>
    </x:row>
    <x:row r="20" ht="30" customHeight="1">
      <x:c r="A20" s="8" t="str">
        <x:v>ADMINISTRATIVE AIDE V (AUDIO-VISUAL ASSISTANT)</x:v>
      </x:c>
      <x:c r="B20" s="9" t="n">
        <x:v>5</x:v>
      </x:c>
      <x:c r="C20" s="8" t="str">
        <x:v>Present</x:v>
      </x:c>
      <x:c r="D20" s="8" t="str">
        <x:v>DBM IOS 2022, PDF page 2</x:v>
      </x:c>
      <x:c r="E20" s="8" t="str">
        <x:v>Grade follows the generic Administrative Aide rank. Parenthetical duty title retained.</x:v>
      </x:c>
      <x:c r="F20" s="8" t="str">
        <x:v>https://www.dbm.gov.ph/wp-content/uploads/OPCCB/IOS2022/4.%20VOLUME%20II.pdf#page=2</x:v>
      </x:c>
    </x:row>
    <x:row r="21" ht="30" customHeight="1">
      <x:c r="A21" s="8" t="str">
        <x:v>ADMINISTRATIVE AIDE VI</x:v>
      </x:c>
      <x:c r="B21" s="9" t="n">
        <x:v>6</x:v>
      </x:c>
      <x:c r="C21" s="8" t="str">
        <x:v>Present</x:v>
      </x:c>
      <x:c r="D21" s="8" t="str">
        <x:v>DBM IOS 2022, PDF page 2</x:v>
      </x:c>
      <x:c r="E21" s="8" t="str"/>
      <x:c r="F21" s="8" t="str">
        <x:v>https://www.dbm.gov.ph/wp-content/uploads/OPCCB/IOS2022/4.%20VOLUME%20II.pdf#page=2</x:v>
      </x:c>
    </x:row>
    <x:row r="22" ht="30" customHeight="1">
      <x:c r="A22" s="8" t="str">
        <x:v>ADMINISTRATIVE AIDE VI (UTILITY FOREMAN)</x:v>
      </x:c>
      <x:c r="B22" s="9" t="n">
        <x:v>6</x:v>
      </x:c>
      <x:c r="C22" s="8" t="str">
        <x:v>Present</x:v>
      </x:c>
      <x:c r="D22" s="8" t="str">
        <x:v>DBM IOS 2022, PDF page 2</x:v>
      </x:c>
      <x:c r="E22" s="8" t="str">
        <x:v>Grade follows the generic Administrative Aide rank. Parenthetical duty title retained.</x:v>
      </x:c>
      <x:c r="F22" s="8" t="str">
        <x:v>https://www.dbm.gov.ph/wp-content/uploads/OPCCB/IOS2022/4.%20VOLUME%20II.pdf#page=2</x:v>
      </x:c>
    </x:row>
    <x:row r="23" ht="30" customHeight="1">
      <x:c r="A23" s="8" t="str">
        <x:v>ADMINISTRATIVE ASSISTANT I</x:v>
      </x:c>
      <x:c r="B23" s="9" t="n">
        <x:v>7</x:v>
      </x:c>
      <x:c r="C23" s="8" t="str">
        <x:v>Present</x:v>
      </x:c>
      <x:c r="D23" s="8" t="str">
        <x:v>DOH Bicol Medical Center, 6 Aug 2025</x:v>
      </x:c>
      <x:c r="E23" s="8" t="str"/>
      <x:c r="F23" s="8" t="str">
        <x:v>https://bmc.doh.gov.ph/sites/default/files/opportunities/job-vacancy/2025/BMC-Job-Vacancy-2025-08-06.pdf</x:v>
      </x:c>
    </x:row>
    <x:row r="24" ht="30" customHeight="1">
      <x:c r="A24" s="8" t="str">
        <x:v>ADMINISTRATIVE ASSISTANT II</x:v>
      </x:c>
      <x:c r="B24" s="9" t="n">
        <x:v>8</x:v>
      </x:c>
      <x:c r="C24" s="8" t="str">
        <x:v>Present</x:v>
      </x:c>
      <x:c r="D24" s="8" t="str">
        <x:v>DBM IOS 2022, PDF page 2</x:v>
      </x:c>
      <x:c r="E24" s="8" t="str"/>
      <x:c r="F24" s="8" t="str">
        <x:v>https://www.dbm.gov.ph/wp-content/uploads/OPCCB/IOS2022/4.%20VOLUME%20II.pdf#page=2</x:v>
      </x:c>
    </x:row>
    <x:row r="25" ht="30" customHeight="1">
      <x:c r="A25" s="8" t="str">
        <x:v>ADMINISTRATIVE ASSISTANT III</x:v>
      </x:c>
      <x:c r="B25" s="9" t="n">
        <x:v>9</x:v>
      </x:c>
      <x:c r="C25" s="8" t="str">
        <x:v>Present</x:v>
      </x:c>
      <x:c r="D25" s="8" t="str">
        <x:v>DOH Bicol Medical Center, 6 Aug 2025</x:v>
      </x:c>
      <x:c r="E25" s="8" t="str"/>
      <x:c r="F25" s="8" t="str">
        <x:v>https://bmc.doh.gov.ph/sites/default/files/opportunities/job-vacancy/2025/BMC-Job-Vacancy-2025-08-06.pdf</x:v>
      </x:c>
    </x:row>
    <x:row r="26" ht="30" customHeight="1">
      <x:c r="A26" s="8" t="str">
        <x:v>ADMINISTRATIVE OFFICER I</x:v>
      </x:c>
      <x:c r="B26" s="9" t="n">
        <x:v>10</x:v>
      </x:c>
      <x:c r="C26" s="8" t="str">
        <x:v>Present</x:v>
      </x:c>
      <x:c r="D26" s="8" t="str">
        <x:v>DOH East Avenue Medical Center, 23 Feb 2026</x:v>
      </x:c>
      <x:c r="E26" s="8" t="str">
        <x:v>Uses generic class ADOF rank, not the legacy AO titles marked for conversion.</x:v>
      </x:c>
      <x:c r="F26" s="8" t="str">
        <x:v>https://eamc.doh.gov.ph/job-vacancies-as-of-23-february-2026/</x:v>
      </x:c>
    </x:row>
    <x:row r="27" ht="30" customHeight="1">
      <x:c r="A27" s="8" t="str">
        <x:v>ADMINISTRATIVE OFFICER II</x:v>
      </x:c>
      <x:c r="B27" s="9" t="n">
        <x:v>11</x:v>
      </x:c>
      <x:c r="C27" s="8" t="str">
        <x:v>Present</x:v>
      </x:c>
      <x:c r="D27" s="8" t="str">
        <x:v>DBM IOS 2022, PDF page 2</x:v>
      </x:c>
      <x:c r="E27" s="8" t="str">
        <x:v>Uses generic class ADOF rank, not the legacy AO titles marked for conversion.</x:v>
      </x:c>
      <x:c r="F27" s="8" t="str">
        <x:v>https://www.dbm.gov.ph/wp-content/uploads/OPCCB/IOS2022/4.%20VOLUME%20II.pdf#page=2</x:v>
      </x:c>
    </x:row>
    <x:row r="28" ht="30" customHeight="1">
      <x:c r="A28" s="8" t="str">
        <x:v>ADMINISTRATIVE OFFICER III</x:v>
      </x:c>
      <x:c r="B28" s="9" t="n">
        <x:v>14</x:v>
      </x:c>
      <x:c r="C28" s="8" t="str">
        <x:v>Present</x:v>
      </x:c>
      <x:c r="D28" s="8" t="str">
        <x:v>DOH Bicol Medical Center, 6 Aug 2025</x:v>
      </x:c>
      <x:c r="E28" s="8" t="str">
        <x:v>Uses generic class ADOF rank, not the legacy AO titles marked for conversion.</x:v>
      </x:c>
      <x:c r="F28" s="8" t="str">
        <x:v>https://bmc.doh.gov.ph/sites/default/files/opportunities/job-vacancy/2025/BMC-Job-Vacancy-2025-08-06.pdf</x:v>
      </x:c>
    </x:row>
    <x:row r="29" ht="30" customHeight="1">
      <x:c r="A29" s="8" t="str">
        <x:v>ADMINISTRATIVE OFFICER IV</x:v>
      </x:c>
      <x:c r="B29" s="9" t="n">
        <x:v>15</x:v>
      </x:c>
      <x:c r="C29" s="8" t="str">
        <x:v>Present</x:v>
      </x:c>
      <x:c r="D29" s="8" t="str">
        <x:v>DOH East Avenue Medical Center, 23 Feb 2026</x:v>
      </x:c>
      <x:c r="E29" s="8" t="str">
        <x:v>Uses generic class ADOF rank, not the legacy AO titles marked for conversion.</x:v>
      </x:c>
      <x:c r="F29" s="8" t="str">
        <x:v>https://eamc.doh.gov.ph/job-vacancies-as-of-23-february-2026/</x:v>
      </x:c>
    </x:row>
    <x:row r="30" ht="30" customHeight="1">
      <x:c r="A30" s="8" t="str">
        <x:v>ADMINISTRATIVE OFFICER V</x:v>
      </x:c>
      <x:c r="B30" s="9" t="n">
        <x:v>18</x:v>
      </x:c>
      <x:c r="C30" s="8" t="str">
        <x:v>Present</x:v>
      </x:c>
      <x:c r="D30" s="8" t="str">
        <x:v>DOH East Avenue Medical Center, 23 Feb 2026</x:v>
      </x:c>
      <x:c r="E30" s="8" t="str">
        <x:v>Uses generic class ADOF rank, not the legacy AO titles marked for conversion.</x:v>
      </x:c>
      <x:c r="F30" s="8" t="str">
        <x:v>https://eamc.doh.gov.ph/job-vacancies-as-of-23-february-2026/</x:v>
      </x:c>
    </x:row>
    <x:row r="31" ht="30" customHeight="1">
      <x:c r="A31" s="8" t="str">
        <x:v>ARCHITECT II</x:v>
      </x:c>
      <x:c r="B31" s="9" t="n">
        <x:v>16</x:v>
      </x:c>
      <x:c r="C31" s="8" t="str">
        <x:v>Present</x:v>
      </x:c>
      <x:c r="D31" s="8" t="str">
        <x:v>DBM IOS 2022, PDF page 3</x:v>
      </x:c>
      <x:c r="E31" s="8" t="str"/>
      <x:c r="F31" s="8" t="str">
        <x:v>https://www.dbm.gov.ph/wp-content/uploads/OPCCB/IOS2022/4.%20VOLUME%20II.pdf#page=3</x:v>
      </x:c>
    </x:row>
    <x:row r="32" ht="30" customHeight="1">
      <x:c r="A32" s="8" t="str">
        <x:v>ARTIFICIAL LIMB AND BRACE MAKER</x:v>
      </x:c>
      <x:c r="B32" s="9" t="str">
        <x:v>Confirm title</x:v>
      </x:c>
      <x:c r="C32" s="8" t="str">
        <x:v>Present</x:v>
      </x:c>
      <x:c r="D32" s="8" t="str">
        <x:v>Exact title/rank needs confirmation</x:v>
      </x:c>
      <x:c r="E32" s="8" t="str">
        <x:v>Rank is missing. DBM lists I = SG 4, II = SG 6, III = SG 9. Confirm rank before assigning SG.</x:v>
      </x:c>
      <x:c r="F32" s="8" t="str">
        <x:v>https://www.dbm.gov.ph/wp-content/uploads/OPCCB/IOS2022/4.%20VOLUME%20II.pdf#page=3</x:v>
      </x:c>
    </x:row>
    <x:row r="33" ht="30" customHeight="1">
      <x:c r="A33" s="8" t="str">
        <x:v>ARTIFICIAL LIMB AND BRACE MAKER III</x:v>
      </x:c>
      <x:c r="B33" s="9" t="n">
        <x:v>9</x:v>
      </x:c>
      <x:c r="C33" s="8" t="str">
        <x:v>Present</x:v>
      </x:c>
      <x:c r="D33" s="8" t="str">
        <x:v>DBM IOS 2022, PDF page 3</x:v>
      </x:c>
      <x:c r="E33" s="8" t="str"/>
      <x:c r="F33" s="8" t="str">
        <x:v>https://www.dbm.gov.ph/wp-content/uploads/OPCCB/IOS2022/4.%20VOLUME%20II.pdf#page=3</x:v>
      </x:c>
    </x:row>
    <x:row r="34" ht="30" customHeight="1">
      <x:c r="A34" s="8" t="str">
        <x:v>ATTORNEY IV</x:v>
      </x:c>
      <x:c r="B34" s="9" t="n">
        <x:v>23</x:v>
      </x:c>
      <x:c r="C34" s="8" t="str">
        <x:v>Present</x:v>
      </x:c>
      <x:c r="D34" s="8" t="str">
        <x:v>DBM IOS 2022, PDF page 5</x:v>
      </x:c>
      <x:c r="E34" s="8" t="str"/>
      <x:c r="F34" s="8" t="str">
        <x:v>https://www.dbm.gov.ph/wp-content/uploads/OPCCB/IOS2022/4.%20VOLUME%20II.pdf#page=5</x:v>
      </x:c>
    </x:row>
    <x:row r="35" ht="30" customHeight="1">
      <x:c r="A35" s="8" t="str">
        <x:v>CHEMIST II</x:v>
      </x:c>
      <x:c r="B35" s="9" t="n">
        <x:v>15</x:v>
      </x:c>
      <x:c r="C35" s="8" t="str">
        <x:v>Present</x:v>
      </x:c>
      <x:c r="D35" s="8" t="str">
        <x:v>DBM IOS 2022, PDF page 9</x:v>
      </x:c>
      <x:c r="E35" s="8" t="str"/>
      <x:c r="F35" s="8" t="str">
        <x:v>https://www.dbm.gov.ph/wp-content/uploads/OPCCB/IOS2022/4.%20VOLUME%20II.pdf#page=9</x:v>
      </x:c>
    </x:row>
    <x:row r="36" ht="30" customHeight="1">
      <x:c r="A36" s="8" t="str">
        <x:v>CHEMIST III</x:v>
      </x:c>
      <x:c r="B36" s="9" t="n">
        <x:v>18</x:v>
      </x:c>
      <x:c r="C36" s="8" t="str">
        <x:v>Present</x:v>
      </x:c>
      <x:c r="D36" s="8" t="str">
        <x:v>DBM IOS 2022, PDF page 9</x:v>
      </x:c>
      <x:c r="E36" s="8" t="str"/>
      <x:c r="F36" s="8" t="str">
        <x:v>https://www.dbm.gov.ph/wp-content/uploads/OPCCB/IOS2022/4.%20VOLUME%20II.pdf#page=9</x:v>
      </x:c>
    </x:row>
    <x:row r="37" ht="30" customHeight="1">
      <x:c r="A37" s="8" t="str">
        <x:v>CHIEF ADMINISTRATIVE OFFICER</x:v>
      </x:c>
      <x:c r="B37" s="9" t="n">
        <x:v>24</x:v>
      </x:c>
      <x:c r="C37" s="8" t="str">
        <x:v>Present</x:v>
      </x:c>
      <x:c r="D37" s="8" t="str">
        <x:v>DBM IOS 2022, PDF page 9</x:v>
      </x:c>
      <x:c r="E37" s="8" t="str"/>
      <x:c r="F37" s="8" t="str">
        <x:v>https://www.dbm.gov.ph/wp-content/uploads/OPCCB/IOS2022/4.%20VOLUME%20II.pdf#page=9</x:v>
      </x:c>
    </x:row>
    <x:row r="38" ht="30" customHeight="1">
      <x:c r="A38" s="8" t="str">
        <x:v>CHIEF HEALTH PROGRAM OFFICER</x:v>
      </x:c>
      <x:c r="B38" s="9" t="n">
        <x:v>24</x:v>
      </x:c>
      <x:c r="C38" s="8" t="str">
        <x:v>Present</x:v>
      </x:c>
      <x:c r="D38" s="8" t="str">
        <x:v>DBM IOS 2022, PDF page 10</x:v>
      </x:c>
      <x:c r="E38" s="8" t="str"/>
      <x:c r="F38" s="8" t="str">
        <x:v>https://www.dbm.gov.ph/wp-content/uploads/OPCCB/IOS2022/4.%20VOLUME%20II.pdf#page=10</x:v>
      </x:c>
    </x:row>
    <x:row r="39" ht="30" customHeight="1">
      <x:c r="A39" s="8" t="str">
        <x:v>CHIEF OF MEDICAL PROFESSIONAL STAFF II</x:v>
      </x:c>
      <x:c r="B39" s="9" t="n">
        <x:v>26</x:v>
      </x:c>
      <x:c r="C39" s="8" t="str">
        <x:v>Present</x:v>
      </x:c>
      <x:c r="D39" s="8" t="str">
        <x:v>DBM IOS 2022, PDF page 10</x:v>
      </x:c>
      <x:c r="E39" s="8" t="str"/>
      <x:c r="F39" s="8" t="str">
        <x:v>https://www.dbm.gov.ph/wp-content/uploads/OPCCB/IOS2022/4.%20VOLUME%20II.pdf#page=10</x:v>
      </x:c>
    </x:row>
    <x:row r="40" ht="30" customHeight="1">
      <x:c r="A40" s="8" t="str">
        <x:v>COMPUTER MAINTENANCE TECHNOLOGIST II</x:v>
      </x:c>
      <x:c r="B40" s="9" t="n">
        <x:v>15</x:v>
      </x:c>
      <x:c r="C40" s="8" t="str">
        <x:v>Present</x:v>
      </x:c>
      <x:c r="D40" s="8" t="str">
        <x:v>DBM IOS 2022, PDF page 13</x:v>
      </x:c>
      <x:c r="E40" s="8" t="str"/>
      <x:c r="F40" s="8" t="str">
        <x:v>https://www.dbm.gov.ph/wp-content/uploads/OPCCB/IOS2022/4.%20VOLUME%20II.pdf#page=13</x:v>
      </x:c>
    </x:row>
    <x:row r="41" ht="30" customHeight="1">
      <x:c r="A41" s="8" t="str">
        <x:v>COMPUTER MAINTENANCE TECHNOLOGIST III</x:v>
      </x:c>
      <x:c r="B41" s="9" t="n">
        <x:v>17</x:v>
      </x:c>
      <x:c r="C41" s="8" t="str">
        <x:v>Present</x:v>
      </x:c>
      <x:c r="D41" s="8" t="str">
        <x:v>DBM IOS 2022, PDF page 13</x:v>
      </x:c>
      <x:c r="E41" s="8" t="str"/>
      <x:c r="F41" s="8" t="str">
        <x:v>https://www.dbm.gov.ph/wp-content/uploads/OPCCB/IOS2022/4.%20VOLUME%20II.pdf#page=13</x:v>
      </x:c>
    </x:row>
    <x:row r="42" ht="30" customHeight="1">
      <x:c r="A42" s="8" t="str">
        <x:v>CONSULTANT</x:v>
      </x:c>
      <x:c r="B42" s="9" t="str">
        <x:v>Confirm title</x:v>
      </x:c>
      <x:c r="C42" s="8" t="str">
        <x:v>Missing from current list</x:v>
      </x:c>
      <x:c r="D42" s="8" t="str">
        <x:v>Exact title/rank needs confirmation</x:v>
      </x:c>
      <x:c r="E42" s="8" t="str">
        <x:v>Generic role label. Confirm exact approved plantilla title and rank. SG 26 is not assigned from this label alone.</x:v>
      </x:c>
      <x:c r="F42" s="8" t="str"/>
    </x:row>
    <x:row r="43" ht="30" customHeight="1">
      <x:c r="A43" s="8" t="str">
        <x:v>COOK I</x:v>
      </x:c>
      <x:c r="B43" s="9" t="n">
        <x:v>3</x:v>
      </x:c>
      <x:c r="C43" s="8" t="str">
        <x:v>Present</x:v>
      </x:c>
      <x:c r="D43" s="8" t="str">
        <x:v>DBM IOS 2022, PDF page 13</x:v>
      </x:c>
      <x:c r="E43" s="8" t="str"/>
      <x:c r="F43" s="8" t="str">
        <x:v>https://www.dbm.gov.ph/wp-content/uploads/OPCCB/IOS2022/4.%20VOLUME%20II.pdf#page=13</x:v>
      </x:c>
    </x:row>
    <x:row r="44" ht="30" customHeight="1">
      <x:c r="A44" s="8" t="str">
        <x:v>COOK II</x:v>
      </x:c>
      <x:c r="B44" s="9" t="n">
        <x:v>5</x:v>
      </x:c>
      <x:c r="C44" s="8" t="str">
        <x:v>Present</x:v>
      </x:c>
      <x:c r="D44" s="8" t="str">
        <x:v>DBM IOS 2022, PDF page 13</x:v>
      </x:c>
      <x:c r="E44" s="8" t="str"/>
      <x:c r="F44" s="8" t="str">
        <x:v>https://www.dbm.gov.ph/wp-content/uploads/OPCCB/IOS2022/4.%20VOLUME%20II.pdf#page=13</x:v>
      </x:c>
    </x:row>
    <x:row r="45" ht="30" customHeight="1">
      <x:c r="A45" s="8" t="str">
        <x:v>DENTAL AIDE</x:v>
      </x:c>
      <x:c r="B45" s="9" t="n">
        <x:v>4</x:v>
      </x:c>
      <x:c r="C45" s="8" t="str">
        <x:v>Present</x:v>
      </x:c>
      <x:c r="D45" s="8" t="str">
        <x:v>DBM IOS 2022, PDF page 16</x:v>
      </x:c>
      <x:c r="E45" s="8" t="str"/>
      <x:c r="F45" s="8" t="str">
        <x:v>https://www.dbm.gov.ph/wp-content/uploads/OPCCB/IOS2022/4.%20VOLUME%20II.pdf#page=16</x:v>
      </x:c>
    </x:row>
    <x:row r="46" ht="30" customHeight="1">
      <x:c r="A46" s="8" t="str">
        <x:v>DENTAL HYGIENIST</x:v>
      </x:c>
      <x:c r="B46" s="9" t="n">
        <x:v>10</x:v>
      </x:c>
      <x:c r="C46" s="8" t="str">
        <x:v>Present</x:v>
      </x:c>
      <x:c r="D46" s="8" t="str">
        <x:v>DOH Jose B. Lingad Memorial General Hospital, Jan 2025</x:v>
      </x:c>
      <x:c r="E46" s="8" t="str"/>
      <x:c r="F46" s="8" t="str">
        <x:v>https://jblmgh.doh.gov.ph/wp-content/uploads/2025/01/JOB-VACANCIES-B1-20251.pdf</x:v>
      </x:c>
    </x:row>
    <x:row r="47" ht="30" customHeight="1">
      <x:c r="A47" s="8" t="str">
        <x:v>DENTIST II</x:v>
      </x:c>
      <x:c r="B47" s="9" t="n">
        <x:v>17</x:v>
      </x:c>
      <x:c r="C47" s="8" t="str">
        <x:v>Present</x:v>
      </x:c>
      <x:c r="D47" s="8" t="str">
        <x:v>DBM IOS 2022, PDF page 16</x:v>
      </x:c>
      <x:c r="E47" s="8" t="str"/>
      <x:c r="F47" s="8" t="str">
        <x:v>https://www.dbm.gov.ph/wp-content/uploads/OPCCB/IOS2022/4.%20VOLUME%20II.pdf#page=16</x:v>
      </x:c>
    </x:row>
    <x:row r="48" ht="30" customHeight="1">
      <x:c r="A48" s="8" t="str">
        <x:v>DENTIST III</x:v>
      </x:c>
      <x:c r="B48" s="9" t="n">
        <x:v>20</x:v>
      </x:c>
      <x:c r="C48" s="8" t="str">
        <x:v>Present</x:v>
      </x:c>
      <x:c r="D48" s="8" t="str">
        <x:v>DBM IOS 2022, PDF page 16</x:v>
      </x:c>
      <x:c r="E48" s="8" t="str"/>
      <x:c r="F48" s="8" t="str">
        <x:v>https://www.dbm.gov.ph/wp-content/uploads/OPCCB/IOS2022/4.%20VOLUME%20II.pdf#page=16</x:v>
      </x:c>
    </x:row>
    <x:row r="49" ht="30" customHeight="1">
      <x:c r="A49" s="8" t="str">
        <x:v>DENTIST V</x:v>
      </x:c>
      <x:c r="B49" s="9" t="n">
        <x:v>24</x:v>
      </x:c>
      <x:c r="C49" s="8" t="str">
        <x:v>Present</x:v>
      </x:c>
      <x:c r="D49" s="8" t="str">
        <x:v>DBM IOS 2022, PDF page 16</x:v>
      </x:c>
      <x:c r="E49" s="8" t="str"/>
      <x:c r="F49" s="8" t="str">
        <x:v>https://www.dbm.gov.ph/wp-content/uploads/OPCCB/IOS2022/4.%20VOLUME%20II.pdf#page=16</x:v>
      </x:c>
    </x:row>
    <x:row r="50" ht="30" customHeight="1">
      <x:c r="A50" s="8" t="str">
        <x:v>DORMITORY MANAGER I</x:v>
      </x:c>
      <x:c r="B50" s="9" t="n">
        <x:v>9</x:v>
      </x:c>
      <x:c r="C50" s="8" t="str">
        <x:v>Present</x:v>
      </x:c>
      <x:c r="D50" s="8" t="str">
        <x:v>DBM IOS 2022, PDF page 17</x:v>
      </x:c>
      <x:c r="E50" s="8" t="str"/>
      <x:c r="F50" s="8" t="str">
        <x:v>https://www.dbm.gov.ph/wp-content/uploads/OPCCB/IOS2022/4.%20VOLUME%20II.pdf#page=17</x:v>
      </x:c>
    </x:row>
    <x:row r="51" ht="30" customHeight="1">
      <x:c r="A51" s="8" t="str">
        <x:v>DORMITORY MANAGER II</x:v>
      </x:c>
      <x:c r="B51" s="9" t="n">
        <x:v>11</x:v>
      </x:c>
      <x:c r="C51" s="8" t="str">
        <x:v>Present</x:v>
      </x:c>
      <x:c r="D51" s="8" t="str">
        <x:v>DBM IOS 2022, PDF page 17</x:v>
      </x:c>
      <x:c r="E51" s="8" t="str"/>
      <x:c r="F51" s="8" t="str">
        <x:v>https://www.dbm.gov.ph/wp-content/uploads/OPCCB/IOS2022/4.%20VOLUME%20II.pdf#page=17</x:v>
      </x:c>
    </x:row>
    <x:row r="52" ht="30" customHeight="1">
      <x:c r="A52" s="8" t="str">
        <x:v>ENGINEER II</x:v>
      </x:c>
      <x:c r="B52" s="9" t="n">
        <x:v>16</x:v>
      </x:c>
      <x:c r="C52" s="8" t="str">
        <x:v>Present</x:v>
      </x:c>
      <x:c r="D52" s="8" t="str">
        <x:v>DBM IOS 2022, PDF page 19</x:v>
      </x:c>
      <x:c r="E52" s="8" t="str"/>
      <x:c r="F52" s="8" t="str">
        <x:v>https://www.dbm.gov.ph/wp-content/uploads/OPCCB/IOS2022/4.%20VOLUME%20II.pdf#page=19</x:v>
      </x:c>
    </x:row>
    <x:row r="53" ht="30" customHeight="1">
      <x:c r="A53" s="8" t="str">
        <x:v>ENGINEER III</x:v>
      </x:c>
      <x:c r="B53" s="9" t="n">
        <x:v>19</x:v>
      </x:c>
      <x:c r="C53" s="8" t="str">
        <x:v>Present</x:v>
      </x:c>
      <x:c r="D53" s="8" t="str">
        <x:v>DBM IOS 2022, PDF page 19</x:v>
      </x:c>
      <x:c r="E53" s="8" t="str"/>
      <x:c r="F53" s="8" t="str">
        <x:v>https://www.dbm.gov.ph/wp-content/uploads/OPCCB/IOS2022/4.%20VOLUME%20II.pdf#page=19</x:v>
      </x:c>
    </x:row>
    <x:row r="54" ht="30" customHeight="1">
      <x:c r="A54" s="8" t="str">
        <x:v>ENGINEER IV</x:v>
      </x:c>
      <x:c r="B54" s="9" t="n">
        <x:v>22</x:v>
      </x:c>
      <x:c r="C54" s="8" t="str">
        <x:v>Present</x:v>
      </x:c>
      <x:c r="D54" s="8" t="str">
        <x:v>DBM IOS 2022, PDF page 19</x:v>
      </x:c>
      <x:c r="E54" s="8" t="str"/>
      <x:c r="F54" s="8" t="str">
        <x:v>https://www.dbm.gov.ph/wp-content/uploads/OPCCB/IOS2022/4.%20VOLUME%20II.pdf#page=19</x:v>
      </x:c>
    </x:row>
    <x:row r="55" ht="30" customHeight="1">
      <x:c r="A55" s="8" t="str">
        <x:v>FINANCIAL AND MANAGEMENT OFFICER II</x:v>
      </x:c>
      <x:c r="B55" s="9" t="n">
        <x:v>24</x:v>
      </x:c>
      <x:c r="C55" s="8" t="str">
        <x:v>Present</x:v>
      </x:c>
      <x:c r="D55" s="8" t="str">
        <x:v>DBM IOS 2022, legacy class FINMO2</x:v>
      </x:c>
      <x:c r="E55" s="8" t="str">
        <x:v>Listed among positions to be converted to generic class titles. Confirm current appointment title with HR.</x:v>
      </x:c>
      <x:c r="F55" s="8" t="str">
        <x:v>https://www.dbm.gov.ph/wp-content/uploads/OPCCB/IOS2022/4.%20VOLUME%20II.pdf</x:v>
      </x:c>
    </x:row>
    <x:row r="56" ht="30" customHeight="1">
      <x:c r="A56" s="8" t="str">
        <x:v>HEALTH EDUCATION AND PROMOTION OFFICER II</x:v>
      </x:c>
      <x:c r="B56" s="9" t="n">
        <x:v>14</x:v>
      </x:c>
      <x:c r="C56" s="8" t="str">
        <x:v>Present</x:v>
      </x:c>
      <x:c r="D56" s="8" t="str">
        <x:v>DBM IOS 2022, PDF page 25</x:v>
      </x:c>
      <x:c r="E56" s="8" t="str"/>
      <x:c r="F56" s="8" t="str">
        <x:v>https://www.dbm.gov.ph/wp-content/uploads/OPCCB/IOS2022/4.%20VOLUME%20II.pdf#page=25</x:v>
      </x:c>
    </x:row>
    <x:row r="57" ht="30" customHeight="1">
      <x:c r="A57" s="8" t="str">
        <x:v>HEALTH PHYSICIST III</x:v>
      </x:c>
      <x:c r="B57" s="9" t="n">
        <x:v>22</x:v>
      </x:c>
      <x:c r="C57" s="8" t="str">
        <x:v>Present</x:v>
      </x:c>
      <x:c r="D57" s="8" t="str">
        <x:v>DBM IOS 2022, PDF page 25</x:v>
      </x:c>
      <x:c r="E57" s="8" t="str"/>
      <x:c r="F57" s="8" t="str">
        <x:v>https://www.dbm.gov.ph/wp-content/uploads/OPCCB/IOS2022/4.%20VOLUME%20II.pdf#page=25</x:v>
      </x:c>
    </x:row>
    <x:row r="58" ht="30" customHeight="1">
      <x:c r="A58" s="8" t="str">
        <x:v>HOSPITAL HOUSEKEEPER</x:v>
      </x:c>
      <x:c r="B58" s="9" t="n">
        <x:v>8</x:v>
      </x:c>
      <x:c r="C58" s="8" t="str">
        <x:v>Present</x:v>
      </x:c>
      <x:c r="D58" s="8" t="str">
        <x:v>DBM IOS 2022, PDF page 25</x:v>
      </x:c>
      <x:c r="E58" s="8" t="str"/>
      <x:c r="F58" s="8" t="str">
        <x:v>https://www.dbm.gov.ph/wp-content/uploads/OPCCB/IOS2022/4.%20VOLUME%20II.pdf#page=25</x:v>
      </x:c>
    </x:row>
    <x:row r="59" ht="30" customHeight="1">
      <x:c r="A59" s="8" t="str">
        <x:v>INFORMATION SYSTEMS ANALYST I</x:v>
      </x:c>
      <x:c r="B59" s="9" t="n">
        <x:v>12</x:v>
      </x:c>
      <x:c r="C59" s="8" t="str">
        <x:v>Present</x:v>
      </x:c>
      <x:c r="D59" s="8" t="str">
        <x:v>DOH Bicol Medical Center, 6 Aug 2025</x:v>
      </x:c>
      <x:c r="E59" s="8" t="str">
        <x:v>Official title uses “Systems” (plural).</x:v>
      </x:c>
      <x:c r="F59" s="8" t="str">
        <x:v>https://bmc.doh.gov.ph/sites/default/files/opportunities/job-vacancy/2025/BMC-Job-Vacancy-2025-08-06.pdf</x:v>
      </x:c>
    </x:row>
    <x:row r="60" ht="30" customHeight="1">
      <x:c r="A60" s="8" t="str">
        <x:v>INFORMATION SYSTEMS ANALYST II</x:v>
      </x:c>
      <x:c r="B60" s="9" t="n">
        <x:v>16</x:v>
      </x:c>
      <x:c r="C60" s="8" t="str">
        <x:v>Present</x:v>
      </x:c>
      <x:c r="D60" s="8" t="str">
        <x:v>DOH Amai Pakpak Medical Center, 12 Sep 2025</x:v>
      </x:c>
      <x:c r="E60" s="8" t="str">
        <x:v>Official title uses “Systems” (plural).</x:v>
      </x:c>
      <x:c r="F60" s="8" t="str">
        <x:v>https://apmc.doh.gov.ph/publication-21st-batch-submitted-september-12-2025/</x:v>
      </x:c>
    </x:row>
    <x:row r="61" ht="30" customHeight="1">
      <x:c r="A61" s="8" t="str">
        <x:v>INFORMATION SYSTEMS ANALYST III</x:v>
      </x:c>
      <x:c r="B61" s="9" t="n">
        <x:v>19</x:v>
      </x:c>
      <x:c r="C61" s="8" t="str">
        <x:v>Present</x:v>
      </x:c>
      <x:c r="D61" s="8" t="str">
        <x:v>DBM IOS 2022, PDF page 27</x:v>
      </x:c>
      <x:c r="E61" s="8" t="str">
        <x:v>Official title uses “Systems” (plural).</x:v>
      </x:c>
      <x:c r="F61" s="8" t="str">
        <x:v>https://www.dbm.gov.ph/wp-content/uploads/OPCCB/IOS2022/4.%20VOLUME%20II.pdf#page=27</x:v>
      </x:c>
    </x:row>
    <x:row r="62" ht="30" customHeight="1">
      <x:c r="A62" s="8" t="str">
        <x:v>LABORATORY AIDE II</x:v>
      </x:c>
      <x:c r="B62" s="9" t="n">
        <x:v>4</x:v>
      </x:c>
      <x:c r="C62" s="8" t="str">
        <x:v>Present</x:v>
      </x:c>
      <x:c r="D62" s="8" t="str">
        <x:v>DBM IOS 2022, PDF page 30</x:v>
      </x:c>
      <x:c r="E62" s="8" t="str"/>
      <x:c r="F62" s="8" t="str">
        <x:v>https://www.dbm.gov.ph/wp-content/uploads/OPCCB/IOS2022/4.%20VOLUME%20II.pdf#page=30</x:v>
      </x:c>
    </x:row>
    <x:row r="63" ht="30" customHeight="1">
      <x:c r="A63" s="8" t="str">
        <x:v>LABORATORY TECHNICAL SUPPORT</x:v>
      </x:c>
      <x:c r="B63" s="9" t="str">
        <x:v>Confirm title</x:v>
      </x:c>
      <x:c r="C63" s="8" t="str">
        <x:v>Missing from current list</x:v>
      </x:c>
      <x:c r="D63" s="8" t="str">
        <x:v>Exact title/rank needs confirmation</x:v>
      </x:c>
      <x:c r="E63" s="8" t="str">
        <x:v>Exact plantilla classification not verified. Confirm approved title and rank with HR.</x:v>
      </x:c>
      <x:c r="F63" s="8" t="str"/>
    </x:row>
    <x:row r="64" ht="30" customHeight="1">
      <x:c r="A64" s="8" t="str">
        <x:v>LABORATORY TECHNICIAN I</x:v>
      </x:c>
      <x:c r="B64" s="9" t="n">
        <x:v>6</x:v>
      </x:c>
      <x:c r="C64" s="8" t="str">
        <x:v>Present</x:v>
      </x:c>
      <x:c r="D64" s="8" t="str">
        <x:v>DBM IOS 2022, PDF page 30</x:v>
      </x:c>
      <x:c r="E64" s="8" t="str"/>
      <x:c r="F64" s="8" t="str">
        <x:v>https://www.dbm.gov.ph/wp-content/uploads/OPCCB/IOS2022/4.%20VOLUME%20II.pdf#page=30</x:v>
      </x:c>
    </x:row>
    <x:row r="65" ht="30" customHeight="1">
      <x:c r="A65" s="8" t="str">
        <x:v>LAUNDRY WORKER I</x:v>
      </x:c>
      <x:c r="B65" s="9" t="n">
        <x:v>1</x:v>
      </x:c>
      <x:c r="C65" s="8" t="str">
        <x:v>Present</x:v>
      </x:c>
      <x:c r="D65" s="8" t="str">
        <x:v>DBM IOS 2022, PDF page 30</x:v>
      </x:c>
      <x:c r="E65" s="8" t="str"/>
      <x:c r="F65" s="8" t="str">
        <x:v>https://www.dbm.gov.ph/wp-content/uploads/OPCCB/IOS2022/4.%20VOLUME%20II.pdf#page=30</x:v>
      </x:c>
    </x:row>
    <x:row r="66" ht="30" customHeight="1">
      <x:c r="A66" s="8" t="str">
        <x:v>LAUNDRY WORKER II</x:v>
      </x:c>
      <x:c r="B66" s="9" t="n">
        <x:v>3</x:v>
      </x:c>
      <x:c r="C66" s="8" t="str">
        <x:v>Present</x:v>
      </x:c>
      <x:c r="D66" s="8" t="str">
        <x:v>DBM IOS 2022, PDF page 30</x:v>
      </x:c>
      <x:c r="E66" s="8" t="str"/>
      <x:c r="F66" s="8" t="str">
        <x:v>https://www.dbm.gov.ph/wp-content/uploads/OPCCB/IOS2022/4.%20VOLUME%20II.pdf#page=30</x:v>
      </x:c>
    </x:row>
    <x:row r="67" ht="30" customHeight="1">
      <x:c r="A67" s="8" t="str">
        <x:v>LEGAL ASSISTANT I</x:v>
      </x:c>
      <x:c r="B67" s="9" t="n">
        <x:v>10</x:v>
      </x:c>
      <x:c r="C67" s="8" t="str">
        <x:v>Present</x:v>
      </x:c>
      <x:c r="D67" s="8" t="str">
        <x:v>DBM IOS 2022, PDF page 30</x:v>
      </x:c>
      <x:c r="E67" s="8" t="str"/>
      <x:c r="F67" s="8" t="str">
        <x:v>https://www.dbm.gov.ph/wp-content/uploads/OPCCB/IOS2022/4.%20VOLUME%20II.pdf#page=30</x:v>
      </x:c>
    </x:row>
    <x:row r="68" ht="30" customHeight="1">
      <x:c r="A68" s="8" t="str">
        <x:v>LEGAL ASSISTANT II</x:v>
      </x:c>
      <x:c r="B68" s="9" t="n">
        <x:v>12</x:v>
      </x:c>
      <x:c r="C68" s="8" t="str">
        <x:v>Present</x:v>
      </x:c>
      <x:c r="D68" s="8" t="str">
        <x:v>DBM IOS 2022, PDF page 30</x:v>
      </x:c>
      <x:c r="E68" s="8" t="str"/>
      <x:c r="F68" s="8" t="str">
        <x:v>https://www.dbm.gov.ph/wp-content/uploads/OPCCB/IOS2022/4.%20VOLUME%20II.pdf#page=30</x:v>
      </x:c>
    </x:row>
    <x:row r="69" ht="30" customHeight="1">
      <x:c r="A69" s="8" t="str">
        <x:v>MEDICAL CENTER CHIEF II</x:v>
      </x:c>
      <x:c r="B69" s="9" t="n">
        <x:v>27</x:v>
      </x:c>
      <x:c r="C69" s="8" t="str">
        <x:v>Present</x:v>
      </x:c>
      <x:c r="D69" s="8" t="str">
        <x:v>DBM IOS 2022, PDF page 34</x:v>
      </x:c>
      <x:c r="E69" s="8" t="str">
        <x:v>Corrected from SG 28 to SG 27 based on class MDC2 in the official index.</x:v>
      </x:c>
      <x:c r="F69" s="8" t="str">
        <x:v>https://www.dbm.gov.ph/wp-content/uploads/OPCCB/IOS2022/4.%20VOLUME%20II.pdf#page=34</x:v>
      </x:c>
    </x:row>
    <x:row r="70" ht="30" customHeight="1">
      <x:c r="A70" s="8" t="str">
        <x:v>MEDICAL EQUIPMENT TECHNICIAN I</x:v>
      </x:c>
      <x:c r="B70" s="9" t="n">
        <x:v>6</x:v>
      </x:c>
      <x:c r="C70" s="8" t="str">
        <x:v>Present</x:v>
      </x:c>
      <x:c r="D70" s="8" t="str">
        <x:v>DOH Amai Pakpak Medical Center, 16 Jan 2025</x:v>
      </x:c>
      <x:c r="E70" s="8" t="str"/>
      <x:c r="F70" s="8" t="str">
        <x:v>https://apmc.doh.gov.ph/publication-1st-batch-submitted-january-16-2025/</x:v>
      </x:c>
    </x:row>
    <x:row r="71" ht="30" customHeight="1">
      <x:c r="A71" s="8" t="str">
        <x:v>MEDICAL EQUIPMENT TECHNICIAN II</x:v>
      </x:c>
      <x:c r="B71" s="9" t="n">
        <x:v>8</x:v>
      </x:c>
      <x:c r="C71" s="8" t="str">
        <x:v>Present</x:v>
      </x:c>
      <x:c r="D71" s="8" t="str">
        <x:v>DBM IOS 2022, PDF page 34</x:v>
      </x:c>
      <x:c r="E71" s="8" t="str"/>
      <x:c r="F71" s="8" t="str">
        <x:v>https://www.dbm.gov.ph/wp-content/uploads/OPCCB/IOS2022/4.%20VOLUME%20II.pdf#page=34</x:v>
      </x:c>
    </x:row>
    <x:row r="72" ht="30" customHeight="1">
      <x:c r="A72" s="8" t="str">
        <x:v>MEDICAL EQUIPMENT TECHNICIAN III</x:v>
      </x:c>
      <x:c r="B72" s="9" t="n">
        <x:v>11</x:v>
      </x:c>
      <x:c r="C72" s="8" t="str">
        <x:v>Present</x:v>
      </x:c>
      <x:c r="D72" s="8" t="str">
        <x:v>DBM IOS 2022, PDF page 34</x:v>
      </x:c>
      <x:c r="E72" s="8" t="str"/>
      <x:c r="F72" s="8" t="str">
        <x:v>https://www.dbm.gov.ph/wp-content/uploads/OPCCB/IOS2022/4.%20VOLUME%20II.pdf#page=34</x:v>
      </x:c>
    </x:row>
    <x:row r="73" ht="30" customHeight="1">
      <x:c r="A73" s="8" t="str">
        <x:v>MEDICAL EQUIPMENT TECHNICIAN IV</x:v>
      </x:c>
      <x:c r="B73" s="9" t="n">
        <x:v>13</x:v>
      </x:c>
      <x:c r="C73" s="8" t="str">
        <x:v>Present</x:v>
      </x:c>
      <x:c r="D73" s="8" t="str">
        <x:v>DBM IOS 2022, PDF page 34</x:v>
      </x:c>
      <x:c r="E73" s="8" t="str"/>
      <x:c r="F73" s="8" t="str">
        <x:v>https://www.dbm.gov.ph/wp-content/uploads/OPCCB/IOS2022/4.%20VOLUME%20II.pdf#page=34</x:v>
      </x:c>
    </x:row>
    <x:row r="74" ht="30" customHeight="1">
      <x:c r="A74" s="8" t="str">
        <x:v>MEDICAL LABORATORY TECHNICIAN I</x:v>
      </x:c>
      <x:c r="B74" s="9" t="n">
        <x:v>6</x:v>
      </x:c>
      <x:c r="C74" s="8" t="str">
        <x:v>Present</x:v>
      </x:c>
      <x:c r="D74" s="8" t="str">
        <x:v>DBM IOS 2022, PDF page 34</x:v>
      </x:c>
      <x:c r="E74" s="8" t="str"/>
      <x:c r="F74" s="8" t="str">
        <x:v>https://www.dbm.gov.ph/wp-content/uploads/OPCCB/IOS2022/4.%20VOLUME%20II.pdf#page=34</x:v>
      </x:c>
    </x:row>
    <x:row r="75" ht="30" customHeight="1">
      <x:c r="A75" s="8" t="str">
        <x:v>MEDICAL LABORATORY TECHNICIAN III</x:v>
      </x:c>
      <x:c r="B75" s="9" t="n">
        <x:v>10</x:v>
      </x:c>
      <x:c r="C75" s="8" t="str">
        <x:v>Present</x:v>
      </x:c>
      <x:c r="D75" s="8" t="str">
        <x:v>DBM IOS 2022, PDF page 34</x:v>
      </x:c>
      <x:c r="E75" s="8" t="str"/>
      <x:c r="F75" s="8" t="str">
        <x:v>https://www.dbm.gov.ph/wp-content/uploads/OPCCB/IOS2022/4.%20VOLUME%20II.pdf#page=34</x:v>
      </x:c>
    </x:row>
    <x:row r="76" ht="30" customHeight="1">
      <x:c r="A76" s="8" t="str">
        <x:v>MEDICAL OFFICER III</x:v>
      </x:c>
      <x:c r="B76" s="9" t="n">
        <x:v>21</x:v>
      </x:c>
      <x:c r="C76" s="8" t="str">
        <x:v>Present</x:v>
      </x:c>
      <x:c r="D76" s="8" t="str">
        <x:v>DOH Amai Pakpak Medical Center, 25 Jun 2025</x:v>
      </x:c>
      <x:c r="E76" s="8" t="str"/>
      <x:c r="F76" s="8" t="str">
        <x:v>https://apmc.doh.gov.ph/publication-13th-batch-submitted-june-25-2025/</x:v>
      </x:c>
    </x:row>
    <x:row r="77" ht="30" customHeight="1">
      <x:c r="A77" s="8" t="str">
        <x:v>MEDICAL OFFICER IV</x:v>
      </x:c>
      <x:c r="B77" s="9" t="n">
        <x:v>23</x:v>
      </x:c>
      <x:c r="C77" s="8" t="str">
        <x:v>Present</x:v>
      </x:c>
      <x:c r="D77" s="8" t="str">
        <x:v>DOH Amai Pakpak Medical Center, 25 Jun 2025</x:v>
      </x:c>
      <x:c r="E77" s="8" t="str"/>
      <x:c r="F77" s="8" t="str">
        <x:v>https://apmc.doh.gov.ph/publication-13th-batch-submitted-june-25-2025/</x:v>
      </x:c>
    </x:row>
    <x:row r="78" ht="30" customHeight="1">
      <x:c r="A78" s="8" t="str">
        <x:v>MEDICAL OFFICER V</x:v>
      </x:c>
      <x:c r="B78" s="9" t="n">
        <x:v>25</x:v>
      </x:c>
      <x:c r="C78" s="8" t="str">
        <x:v>Present</x:v>
      </x:c>
      <x:c r="D78" s="8" t="str">
        <x:v>DBM IOS 2022, PDF page 34</x:v>
      </x:c>
      <x:c r="E78" s="8" t="str"/>
      <x:c r="F78" s="8" t="str">
        <x:v>https://www.dbm.gov.ph/wp-content/uploads/OPCCB/IOS2022/4.%20VOLUME%20II.pdf#page=34</x:v>
      </x:c>
    </x:row>
    <x:row r="79" ht="30" customHeight="1">
      <x:c r="A79" s="8" t="str">
        <x:v>MEDICAL SPECIALIST II</x:v>
      </x:c>
      <x:c r="B79" s="9" t="n">
        <x:v>23</x:v>
      </x:c>
      <x:c r="C79" s="8" t="str">
        <x:v>Present</x:v>
      </x:c>
      <x:c r="D79" s="8" t="str">
        <x:v>DBM IOS 2022, PDF page 34</x:v>
      </x:c>
      <x:c r="E79" s="8" t="str"/>
      <x:c r="F79" s="8" t="str">
        <x:v>https://www.dbm.gov.ph/wp-content/uploads/OPCCB/IOS2022/4.%20VOLUME%20II.pdf#page=34</x:v>
      </x:c>
    </x:row>
    <x:row r="80" ht="30" customHeight="1">
      <x:c r="A80" s="8" t="str">
        <x:v>MEDICAL SPECIALIST II (PT)</x:v>
      </x:c>
      <x:c r="B80" s="9" t="n">
        <x:v>23</x:v>
      </x:c>
      <x:c r="C80" s="8" t="str">
        <x:v>Present</x:v>
      </x:c>
      <x:c r="D80" s="8" t="str">
        <x:v>DOH Don Jose S. Monfort Medical Center, 2026</x:v>
      </x:c>
      <x:c r="E80" s="8" t="str">
        <x:v>PT means part-time. SG is the position grade; it does not mean full-time monthly pay.</x:v>
      </x:c>
      <x:c r="F80" s="8" t="str">
        <x:v>https://djsmmc.doh.gov.ph/job-vacancy-2026/</x:v>
      </x:c>
    </x:row>
    <x:row r="81" ht="30" customHeight="1">
      <x:c r="A81" s="8" t="str">
        <x:v>MEDICAL SPECIALIST III</x:v>
      </x:c>
      <x:c r="B81" s="9" t="n">
        <x:v>24</x:v>
      </x:c>
      <x:c r="C81" s="8" t="str">
        <x:v>Present</x:v>
      </x:c>
      <x:c r="D81" s="8" t="str">
        <x:v>DOH Amai Pakpak Medical Center, 27 Oct 2025</x:v>
      </x:c>
      <x:c r="E81" s="8" t="str"/>
      <x:c r="F81" s="8" t="str">
        <x:v>https://apmc.doh.gov.ph/publication-24th-batch-submitted-october-27-2025/</x:v>
      </x:c>
    </x:row>
    <x:row r="82" ht="30" customHeight="1">
      <x:c r="A82" s="8" t="str">
        <x:v>MEDICAL SPECIALIST III (PT)</x:v>
      </x:c>
      <x:c r="B82" s="9" t="n">
        <x:v>24</x:v>
      </x:c>
      <x:c r="C82" s="8" t="str">
        <x:v>Present</x:v>
      </x:c>
      <x:c r="D82" s="8" t="str">
        <x:v>DOH Amai Pakpak Medical Center, 16 Jan 2025</x:v>
      </x:c>
      <x:c r="E82" s="8" t="str">
        <x:v>PT means part-time. SG is the position grade; it does not mean full-time monthly pay.</x:v>
      </x:c>
      <x:c r="F82" s="8" t="str">
        <x:v>https://apmc.doh.gov.ph/publication-1st-batch-submitted-january-16-2025/</x:v>
      </x:c>
    </x:row>
    <x:row r="83" ht="30" customHeight="1">
      <x:c r="A83" s="8" t="str">
        <x:v>MEDICAL SPECIALIST IV</x:v>
      </x:c>
      <x:c r="B83" s="9" t="n">
        <x:v>25</x:v>
      </x:c>
      <x:c r="C83" s="8" t="str">
        <x:v>Present</x:v>
      </x:c>
      <x:c r="D83" s="8" t="str">
        <x:v>DOH Bicol Medical Center, 19 Aug 2025</x:v>
      </x:c>
      <x:c r="E83" s="8" t="str"/>
      <x:c r="F83" s="8" t="str">
        <x:v>https://bmc.doh.gov.ph/sites/default/files/opportunities/job-vacancy/2025/BMC-Job-Vacancy-2025-08-19-MS.pdf</x:v>
      </x:c>
    </x:row>
    <x:row r="84" ht="30" customHeight="1">
      <x:c r="A84" s="8" t="str">
        <x:v>MEDICAL TECHNOLOGIST I</x:v>
      </x:c>
      <x:c r="B84" s="9" t="n">
        <x:v>11</x:v>
      </x:c>
      <x:c r="C84" s="8" t="str">
        <x:v>Present</x:v>
      </x:c>
      <x:c r="D84" s="8" t="str">
        <x:v>DOH Amai Pakpak Medical Center, 12 Sep 2025</x:v>
      </x:c>
      <x:c r="E84" s="8" t="str"/>
      <x:c r="F84" s="8" t="str">
        <x:v>https://apmc.doh.gov.ph/publication-21st-batch-submitted-september-12-2025/</x:v>
      </x:c>
    </x:row>
    <x:row r="85" ht="30" customHeight="1">
      <x:c r="A85" s="8" t="str">
        <x:v>MEDICAL TECHNOLOGIST II</x:v>
      </x:c>
      <x:c r="B85" s="9" t="n">
        <x:v>15</x:v>
      </x:c>
      <x:c r="C85" s="8" t="str">
        <x:v>Present</x:v>
      </x:c>
      <x:c r="D85" s="8" t="str">
        <x:v>DOH Valenzuela Medical Center, 19 Sep 2025</x:v>
      </x:c>
      <x:c r="E85" s="8" t="str"/>
      <x:c r="F85" s="8" t="str">
        <x:v>https://vmc.doh.gov.ph/images/admin_documents/VacantPositionVariousDivision09192025_B.pdf</x:v>
      </x:c>
    </x:row>
    <x:row r="86" ht="30" customHeight="1">
      <x:c r="A86" s="8" t="str">
        <x:v>MEDICAL TECHNOLOGIST III</x:v>
      </x:c>
      <x:c r="B86" s="9" t="n">
        <x:v>18</x:v>
      </x:c>
      <x:c r="C86" s="8" t="str">
        <x:v>Present</x:v>
      </x:c>
      <x:c r="D86" s="8" t="str">
        <x:v>DBM IOS 2022, PDF page 34</x:v>
      </x:c>
      <x:c r="E86" s="8" t="str"/>
      <x:c r="F86" s="8" t="str">
        <x:v>https://www.dbm.gov.ph/wp-content/uploads/OPCCB/IOS2022/4.%20VOLUME%20II.pdf#page=34</x:v>
      </x:c>
    </x:row>
    <x:row r="87" ht="30" customHeight="1">
      <x:c r="A87" s="8" t="str">
        <x:v>MEDICAL TECHNOLOGIST IV</x:v>
      </x:c>
      <x:c r="B87" s="9" t="n">
        <x:v>20</x:v>
      </x:c>
      <x:c r="C87" s="8" t="str">
        <x:v>Present</x:v>
      </x:c>
      <x:c r="D87" s="8" t="str">
        <x:v>DBM IOS 2022, PDF page 34</x:v>
      </x:c>
      <x:c r="E87" s="8" t="str"/>
      <x:c r="F87" s="8" t="str">
        <x:v>https://www.dbm.gov.ph/wp-content/uploads/OPCCB/IOS2022/4.%20VOLUME%20II.pdf#page=34</x:v>
      </x:c>
    </x:row>
    <x:row r="88" ht="30" customHeight="1">
      <x:c r="A88" s="8" t="str">
        <x:v>MEDICAL TECHNOLOGIST V</x:v>
      </x:c>
      <x:c r="B88" s="9" t="n">
        <x:v>22</x:v>
      </x:c>
      <x:c r="C88" s="8" t="str">
        <x:v>Present</x:v>
      </x:c>
      <x:c r="D88" s="8" t="str">
        <x:v>DBM IOS 2022, PDF page 34</x:v>
      </x:c>
      <x:c r="E88" s="8" t="str"/>
      <x:c r="F88" s="8" t="str">
        <x:v>https://www.dbm.gov.ph/wp-content/uploads/OPCCB/IOS2022/4.%20VOLUME%20II.pdf#page=34</x:v>
      </x:c>
    </x:row>
    <x:row r="89" ht="30" customHeight="1">
      <x:c r="A89" s="8" t="str">
        <x:v>MIDWIFE I</x:v>
      </x:c>
      <x:c r="B89" s="9" t="n">
        <x:v>9</x:v>
      </x:c>
      <x:c r="C89" s="8" t="str">
        <x:v>Present</x:v>
      </x:c>
      <x:c r="D89" s="8" t="str">
        <x:v>DOH Bicol Medical Center, 6 Aug 2025</x:v>
      </x:c>
      <x:c r="E89" s="8" t="str"/>
      <x:c r="F89" s="8" t="str">
        <x:v>https://bmc.doh.gov.ph/sites/default/files/opportunities/job-vacancy/2025/BMC-Job-Vacancy-2025-08-06.pdf</x:v>
      </x:c>
    </x:row>
    <x:row r="90" ht="30" customHeight="1">
      <x:c r="A90" s="8" t="str">
        <x:v>MIDWIFE II</x:v>
      </x:c>
      <x:c r="B90" s="9" t="n">
        <x:v>11</x:v>
      </x:c>
      <x:c r="C90" s="8" t="str">
        <x:v>Present</x:v>
      </x:c>
      <x:c r="D90" s="8" t="str">
        <x:v>DOH Bicol Medical Center, 6 Aug 2025</x:v>
      </x:c>
      <x:c r="E90" s="8" t="str"/>
      <x:c r="F90" s="8" t="str">
        <x:v>https://bmc.doh.gov.ph/sites/default/files/opportunities/job-vacancy/2025/BMC-Job-Vacancy-2025-08-06.pdf</x:v>
      </x:c>
    </x:row>
    <x:row r="91" ht="30" customHeight="1">
      <x:c r="A91" s="8" t="str">
        <x:v>MIDWIFE III</x:v>
      </x:c>
      <x:c r="B91" s="9" t="n">
        <x:v>13</x:v>
      </x:c>
      <x:c r="C91" s="8" t="str">
        <x:v>Present</x:v>
      </x:c>
      <x:c r="D91" s="8" t="str">
        <x:v>DBM IOS 2022, PDF page 35</x:v>
      </x:c>
      <x:c r="E91" s="8" t="str"/>
      <x:c r="F91" s="8" t="str">
        <x:v>https://www.dbm.gov.ph/wp-content/uploads/OPCCB/IOS2022/4.%20VOLUME%20II.pdf#page=35</x:v>
      </x:c>
    </x:row>
    <x:row r="92" ht="30" customHeight="1">
      <x:c r="A92" s="8" t="str">
        <x:v>NURSE I</x:v>
      </x:c>
      <x:c r="B92" s="9" t="n">
        <x:v>15</x:v>
      </x:c>
      <x:c r="C92" s="8" t="str">
        <x:v>Present</x:v>
      </x:c>
      <x:c r="D92" s="8" t="str">
        <x:v>DOH Bicol Medical Center, 6 Aug 2025</x:v>
      </x:c>
      <x:c r="E92" s="8" t="str"/>
      <x:c r="F92" s="8" t="str">
        <x:v>https://bmc.doh.gov.ph/sites/default/files/opportunities/job-vacancy/2025/BMC-Job-Vacancy-2025-08-06.pdf</x:v>
      </x:c>
    </x:row>
    <x:row r="93" ht="30" customHeight="1">
      <x:c r="A93" s="8" t="str">
        <x:v>NURSE II</x:v>
      </x:c>
      <x:c r="B93" s="9" t="n">
        <x:v>16</x:v>
      </x:c>
      <x:c r="C93" s="8" t="str">
        <x:v>Present</x:v>
      </x:c>
      <x:c r="D93" s="8" t="str">
        <x:v>DOH Amai Pakpak Medical Center, 12 Sep 2025</x:v>
      </x:c>
      <x:c r="E93" s="8" t="str"/>
      <x:c r="F93" s="8" t="str">
        <x:v>https://apmc.doh.gov.ph/publication-21st-batch-submitted-september-12-2025/</x:v>
      </x:c>
    </x:row>
    <x:row r="94" ht="30" customHeight="1">
      <x:c r="A94" s="8" t="str">
        <x:v>NURSE III</x:v>
      </x:c>
      <x:c r="B94" s="9" t="n">
        <x:v>17</x:v>
      </x:c>
      <x:c r="C94" s="8" t="str">
        <x:v>Present</x:v>
      </x:c>
      <x:c r="D94" s="8" t="str">
        <x:v>DOH Don Jose S. Monfort Medical Center, 2026</x:v>
      </x:c>
      <x:c r="E94" s="8" t="str"/>
      <x:c r="F94" s="8" t="str">
        <x:v>https://djsmmc.doh.gov.ph/job-vacancy-2026/</x:v>
      </x:c>
    </x:row>
    <x:row r="95" ht="30" customHeight="1">
      <x:c r="A95" s="8" t="str">
        <x:v>NURSE IV</x:v>
      </x:c>
      <x:c r="B95" s="9" t="n">
        <x:v>19</x:v>
      </x:c>
      <x:c r="C95" s="8" t="str">
        <x:v>Present</x:v>
      </x:c>
      <x:c r="D95" s="8" t="str">
        <x:v>DOH Don Jose S. Monfort Medical Center, 2026</x:v>
      </x:c>
      <x:c r="E95" s="8" t="str"/>
      <x:c r="F95" s="8" t="str">
        <x:v>https://djsmmc.doh.gov.ph/job-vacancy-2026/</x:v>
      </x:c>
    </x:row>
    <x:row r="96" ht="30" customHeight="1">
      <x:c r="A96" s="8" t="str">
        <x:v>NURSE V</x:v>
      </x:c>
      <x:c r="B96" s="9" t="n">
        <x:v>20</x:v>
      </x:c>
      <x:c r="C96" s="8" t="str">
        <x:v>Present</x:v>
      </x:c>
      <x:c r="D96" s="8" t="str">
        <x:v>DOH Don Jose S. Monfort Medical Center, 2026</x:v>
      </x:c>
      <x:c r="E96" s="8" t="str"/>
      <x:c r="F96" s="8" t="str">
        <x:v>https://djsmmc.doh.gov.ph/job-vacancy-2026/</x:v>
      </x:c>
    </x:row>
    <x:row r="97" ht="30" customHeight="1">
      <x:c r="A97" s="8" t="str">
        <x:v>NURSE VI</x:v>
      </x:c>
      <x:c r="B97" s="9" t="n">
        <x:v>22</x:v>
      </x:c>
      <x:c r="C97" s="8" t="str">
        <x:v>Present</x:v>
      </x:c>
      <x:c r="D97" s="8" t="str">
        <x:v>DBM IOS 2022, PDF page 37</x:v>
      </x:c>
      <x:c r="E97" s="8" t="str"/>
      <x:c r="F97" s="8" t="str">
        <x:v>https://www.dbm.gov.ph/wp-content/uploads/OPCCB/IOS2022/4.%20VOLUME%20II.pdf#page=37</x:v>
      </x:c>
    </x:row>
    <x:row r="98" ht="30" customHeight="1">
      <x:c r="A98" s="8" t="str">
        <x:v>NURSE VII</x:v>
      </x:c>
      <x:c r="B98" s="9" t="n">
        <x:v>24</x:v>
      </x:c>
      <x:c r="C98" s="8" t="str">
        <x:v>Present</x:v>
      </x:c>
      <x:c r="D98" s="8" t="str">
        <x:v>DBM IOS 2022, PDF page 37</x:v>
      </x:c>
      <x:c r="E98" s="8" t="str"/>
      <x:c r="F98" s="8" t="str">
        <x:v>https://www.dbm.gov.ph/wp-content/uploads/OPCCB/IOS2022/4.%20VOLUME%20II.pdf#page=37</x:v>
      </x:c>
    </x:row>
    <x:row r="99" ht="30" customHeight="1">
      <x:c r="A99" s="8" t="str">
        <x:v>NURSING ATTENDANT I</x:v>
      </x:c>
      <x:c r="B99" s="9" t="n">
        <x:v>4</x:v>
      </x:c>
      <x:c r="C99" s="8" t="str">
        <x:v>Present</x:v>
      </x:c>
      <x:c r="D99" s="8" t="str">
        <x:v>DBM IOS 2022, PDF page 37</x:v>
      </x:c>
      <x:c r="E99" s="8" t="str"/>
      <x:c r="F99" s="8" t="str">
        <x:v>https://www.dbm.gov.ph/wp-content/uploads/OPCCB/IOS2022/4.%20VOLUME%20II.pdf#page=37</x:v>
      </x:c>
    </x:row>
    <x:row r="100" ht="30" customHeight="1">
      <x:c r="A100" s="8" t="str">
        <x:v>NURSING ATTENDANT II</x:v>
      </x:c>
      <x:c r="B100" s="9" t="n">
        <x:v>6</x:v>
      </x:c>
      <x:c r="C100" s="8" t="str">
        <x:v>Present</x:v>
      </x:c>
      <x:c r="D100" s="8" t="str">
        <x:v>DOH Bicol Medical Center, 6 Aug 2025</x:v>
      </x:c>
      <x:c r="E100" s="8" t="str"/>
      <x:c r="F100" s="8" t="str">
        <x:v>https://bmc.doh.gov.ph/sites/default/files/opportunities/job-vacancy/2025/BMC-Job-Vacancy-2025-08-06.pdf</x:v>
      </x:c>
    </x:row>
    <x:row r="101" ht="30" customHeight="1">
      <x:c r="A101" s="8" t="str">
        <x:v>NUTRITIONIST-DIETITIAN I</x:v>
      </x:c>
      <x:c r="B101" s="9" t="n">
        <x:v>11</x:v>
      </x:c>
      <x:c r="C101" s="8" t="str">
        <x:v>Present</x:v>
      </x:c>
      <x:c r="D101" s="8" t="str">
        <x:v>DBM IOS 2022, PDF page 37</x:v>
      </x:c>
      <x:c r="E101" s="8" t="str"/>
      <x:c r="F101" s="8" t="str">
        <x:v>https://www.dbm.gov.ph/wp-content/uploads/OPCCB/IOS2022/4.%20VOLUME%20II.pdf#page=37</x:v>
      </x:c>
    </x:row>
    <x:row r="102" ht="30" customHeight="1">
      <x:c r="A102" s="8" t="str">
        <x:v>NUTRITIONIST-DIETITIAN II</x:v>
      </x:c>
      <x:c r="B102" s="9" t="n">
        <x:v>15</x:v>
      </x:c>
      <x:c r="C102" s="8" t="str">
        <x:v>Present</x:v>
      </x:c>
      <x:c r="D102" s="8" t="str">
        <x:v>DOH Amai Pakpak Medical Center, 16 Jan 2025</x:v>
      </x:c>
      <x:c r="E102" s="8" t="str"/>
      <x:c r="F102" s="8" t="str">
        <x:v>https://apmc.doh.gov.ph/publication-1st-batch-submitted-january-16-2025/</x:v>
      </x:c>
    </x:row>
    <x:row r="103" ht="30" customHeight="1">
      <x:c r="A103" s="8" t="str">
        <x:v>NUTRITIONIST-DIETITIAN III</x:v>
      </x:c>
      <x:c r="B103" s="9" t="n">
        <x:v>18</x:v>
      </x:c>
      <x:c r="C103" s="8" t="str">
        <x:v>Present</x:v>
      </x:c>
      <x:c r="D103" s="8" t="str">
        <x:v>DBM IOS 2022, PDF page 37</x:v>
      </x:c>
      <x:c r="E103" s="8" t="str"/>
      <x:c r="F103" s="8" t="str">
        <x:v>https://www.dbm.gov.ph/wp-content/uploads/OPCCB/IOS2022/4.%20VOLUME%20II.pdf#page=37</x:v>
      </x:c>
    </x:row>
    <x:row r="104" ht="30" customHeight="1">
      <x:c r="A104" s="8" t="str">
        <x:v>NUTRITIONIST-DIETITIAN IV</x:v>
      </x:c>
      <x:c r="B104" s="9" t="n">
        <x:v>20</x:v>
      </x:c>
      <x:c r="C104" s="8" t="str">
        <x:v>Present</x:v>
      </x:c>
      <x:c r="D104" s="8" t="str">
        <x:v>DBM IOS 2022, PDF page 38</x:v>
      </x:c>
      <x:c r="E104" s="8" t="str"/>
      <x:c r="F104" s="8" t="str">
        <x:v>https://www.dbm.gov.ph/wp-content/uploads/OPCCB/IOS2022/4.%20VOLUME%20II.pdf#page=38</x:v>
      </x:c>
    </x:row>
    <x:row r="105" ht="30" customHeight="1">
      <x:c r="A105" s="8" t="str">
        <x:v>NUTRITIONIST-DIETITIAN V</x:v>
      </x:c>
      <x:c r="B105" s="9" t="n">
        <x:v>22</x:v>
      </x:c>
      <x:c r="C105" s="8" t="str">
        <x:v>Present</x:v>
      </x:c>
      <x:c r="D105" s="8" t="str">
        <x:v>DBM IOS 2022, PDF page 38</x:v>
      </x:c>
      <x:c r="E105" s="8" t="str"/>
      <x:c r="F105" s="8" t="str">
        <x:v>https://www.dbm.gov.ph/wp-content/uploads/OPCCB/IOS2022/4.%20VOLUME%20II.pdf#page=38</x:v>
      </x:c>
    </x:row>
    <x:row r="106" ht="30" customHeight="1">
      <x:c r="A106" s="8" t="str">
        <x:v>OCCUPATIONAL THERAPIST I</x:v>
      </x:c>
      <x:c r="B106" s="9" t="n">
        <x:v>11</x:v>
      </x:c>
      <x:c r="C106" s="8" t="str">
        <x:v>Present</x:v>
      </x:c>
      <x:c r="D106" s="8" t="str">
        <x:v>DOH East Avenue Medical Center, 28 Apr 2026</x:v>
      </x:c>
      <x:c r="E106" s="8" t="str"/>
      <x:c r="F106" s="8" t="str">
        <x:v>https://eamc.doh.gov.ph/job-vacancies-as-of-28-april-2026/</x:v>
      </x:c>
    </x:row>
    <x:row r="107" ht="30" customHeight="1">
      <x:c r="A107" s="8" t="str">
        <x:v>OCCUPATIONAL THERAPIST IV</x:v>
      </x:c>
      <x:c r="B107" s="9" t="n">
        <x:v>22</x:v>
      </x:c>
      <x:c r="C107" s="8" t="str">
        <x:v>Present</x:v>
      </x:c>
      <x:c r="D107" s="8" t="str">
        <x:v>DBM IOS 2022, PDF page 39</x:v>
      </x:c>
      <x:c r="E107" s="8" t="str"/>
      <x:c r="F107" s="8" t="str">
        <x:v>https://www.dbm.gov.ph/wp-content/uploads/OPCCB/IOS2022/4.%20VOLUME%20II.pdf#page=39</x:v>
      </x:c>
    </x:row>
    <x:row r="108" ht="30" customHeight="1">
      <x:c r="A108" s="8" t="str">
        <x:v>PHARMACIST I</x:v>
      </x:c>
      <x:c r="B108" s="9" t="n">
        <x:v>11</x:v>
      </x:c>
      <x:c r="C108" s="8" t="str">
        <x:v>Present</x:v>
      </x:c>
      <x:c r="D108" s="8" t="str">
        <x:v>DBM IOS 2022, PDF page 40</x:v>
      </x:c>
      <x:c r="E108" s="8" t="str"/>
      <x:c r="F108" s="8" t="str">
        <x:v>https://www.dbm.gov.ph/wp-content/uploads/OPCCB/IOS2022/4.%20VOLUME%20II.pdf#page=40</x:v>
      </x:c>
    </x:row>
    <x:row r="109" ht="30" customHeight="1">
      <x:c r="A109" s="8" t="str">
        <x:v>PHARMACIST II</x:v>
      </x:c>
      <x:c r="B109" s="9" t="n">
        <x:v>15</x:v>
      </x:c>
      <x:c r="C109" s="8" t="str">
        <x:v>Present</x:v>
      </x:c>
      <x:c r="D109" s="8" t="str">
        <x:v>DBM IOS 2022, PDF page 40</x:v>
      </x:c>
      <x:c r="E109" s="8" t="str"/>
      <x:c r="F109" s="8" t="str">
        <x:v>https://www.dbm.gov.ph/wp-content/uploads/OPCCB/IOS2022/4.%20VOLUME%20II.pdf#page=40</x:v>
      </x:c>
    </x:row>
    <x:row r="110" ht="30" customHeight="1">
      <x:c r="A110" s="8" t="str">
        <x:v>PHARMACIST III</x:v>
      </x:c>
      <x:c r="B110" s="9" t="n">
        <x:v>18</x:v>
      </x:c>
      <x:c r="C110" s="8" t="str">
        <x:v>Present</x:v>
      </x:c>
      <x:c r="D110" s="8" t="str">
        <x:v>DBM IOS 2022, PDF page 40</x:v>
      </x:c>
      <x:c r="E110" s="8" t="str"/>
      <x:c r="F110" s="8" t="str">
        <x:v>https://www.dbm.gov.ph/wp-content/uploads/OPCCB/IOS2022/4.%20VOLUME%20II.pdf#page=40</x:v>
      </x:c>
    </x:row>
    <x:row r="111" ht="30" customHeight="1">
      <x:c r="A111" s="8" t="str">
        <x:v>PHARMACIST IV</x:v>
      </x:c>
      <x:c r="B111" s="9" t="n">
        <x:v>20</x:v>
      </x:c>
      <x:c r="C111" s="8" t="str">
        <x:v>Present</x:v>
      </x:c>
      <x:c r="D111" s="8" t="str">
        <x:v>DBM IOS 2022, PDF page 40</x:v>
      </x:c>
      <x:c r="E111" s="8" t="str"/>
      <x:c r="F111" s="8" t="str">
        <x:v>https://www.dbm.gov.ph/wp-content/uploads/OPCCB/IOS2022/4.%20VOLUME%20II.pdf#page=40</x:v>
      </x:c>
    </x:row>
    <x:row r="112" ht="30" customHeight="1">
      <x:c r="A112" s="8" t="str">
        <x:v>PHARMACIST V</x:v>
      </x:c>
      <x:c r="B112" s="9" t="n">
        <x:v>22</x:v>
      </x:c>
      <x:c r="C112" s="8" t="str">
        <x:v>Present</x:v>
      </x:c>
      <x:c r="D112" s="8" t="str">
        <x:v>DOH Bicol Medical Center, 6 Aug 2025</x:v>
      </x:c>
      <x:c r="E112" s="8" t="str"/>
      <x:c r="F112" s="8" t="str">
        <x:v>https://bmc.doh.gov.ph/sites/default/files/opportunities/job-vacancy/2025/BMC-Job-Vacancy-2025-08-06.pdf</x:v>
      </x:c>
    </x:row>
    <x:row r="113" ht="30" customHeight="1">
      <x:c r="A113" s="8" t="str">
        <x:v>PHYSICAL THERAPIST I</x:v>
      </x:c>
      <x:c r="B113" s="9" t="n">
        <x:v>11</x:v>
      </x:c>
      <x:c r="C113" s="8" t="str">
        <x:v>Present</x:v>
      </x:c>
      <x:c r="D113" s="8" t="str">
        <x:v>DBM IOS 2022, PDF page 41</x:v>
      </x:c>
      <x:c r="E113" s="8" t="str"/>
      <x:c r="F113" s="8" t="str">
        <x:v>https://www.dbm.gov.ph/wp-content/uploads/OPCCB/IOS2022/4.%20VOLUME%20II.pdf#page=41</x:v>
      </x:c>
    </x:row>
    <x:row r="114" ht="30" customHeight="1">
      <x:c r="A114" s="8" t="str">
        <x:v>PHYSICAL THERAPIST II</x:v>
      </x:c>
      <x:c r="B114" s="9" t="n">
        <x:v>15</x:v>
      </x:c>
      <x:c r="C114" s="8" t="str">
        <x:v>Present</x:v>
      </x:c>
      <x:c r="D114" s="8" t="str">
        <x:v>DBM IOS 2022, PDF page 41</x:v>
      </x:c>
      <x:c r="E114" s="8" t="str"/>
      <x:c r="F114" s="8" t="str">
        <x:v>https://www.dbm.gov.ph/wp-content/uploads/OPCCB/IOS2022/4.%20VOLUME%20II.pdf#page=41</x:v>
      </x:c>
    </x:row>
    <x:row r="115" ht="30" customHeight="1">
      <x:c r="A115" s="8" t="str">
        <x:v>PHYSICAL THERAPIST III</x:v>
      </x:c>
      <x:c r="B115" s="9" t="n">
        <x:v>18</x:v>
      </x:c>
      <x:c r="C115" s="8" t="str">
        <x:v>Present</x:v>
      </x:c>
      <x:c r="D115" s="8" t="str">
        <x:v>DBM IOS 2022, PDF page 41</x:v>
      </x:c>
      <x:c r="E115" s="8" t="str"/>
      <x:c r="F115" s="8" t="str">
        <x:v>https://www.dbm.gov.ph/wp-content/uploads/OPCCB/IOS2022/4.%20VOLUME%20II.pdf#page=41</x:v>
      </x:c>
    </x:row>
    <x:row r="116" ht="30" customHeight="1">
      <x:c r="A116" s="8" t="str">
        <x:v>PHYSICAL THERAPIST IV</x:v>
      </x:c>
      <x:c r="B116" s="9" t="n">
        <x:v>22</x:v>
      </x:c>
      <x:c r="C116" s="8" t="str">
        <x:v>Present</x:v>
      </x:c>
      <x:c r="D116" s="8" t="str">
        <x:v>DBM IOS 2022, PDF page 41</x:v>
      </x:c>
      <x:c r="E116" s="8" t="str"/>
      <x:c r="F116" s="8" t="str">
        <x:v>https://www.dbm.gov.ph/wp-content/uploads/OPCCB/IOS2022/4.%20VOLUME%20II.pdf#page=41</x:v>
      </x:c>
    </x:row>
    <x:row r="117" ht="30" customHeight="1">
      <x:c r="A117" s="8" t="str">
        <x:v>PHYSICAL THERAPY TECHNICIAN I</x:v>
      </x:c>
      <x:c r="B117" s="9" t="n">
        <x:v>6</x:v>
      </x:c>
      <x:c r="C117" s="8" t="str">
        <x:v>Present</x:v>
      </x:c>
      <x:c r="D117" s="8" t="str">
        <x:v>DBM IOS 2022, PDF page 41</x:v>
      </x:c>
      <x:c r="E117" s="8" t="str"/>
      <x:c r="F117" s="8" t="str">
        <x:v>https://www.dbm.gov.ph/wp-content/uploads/OPCCB/IOS2022/4.%20VOLUME%20II.pdf#page=41</x:v>
      </x:c>
    </x:row>
    <x:row r="118" ht="30" customHeight="1">
      <x:c r="A118" s="8" t="str">
        <x:v>PHYSICAL THERAPY TECHNICIAN II</x:v>
      </x:c>
      <x:c r="B118" s="9" t="n">
        <x:v>8</x:v>
      </x:c>
      <x:c r="C118" s="8" t="str">
        <x:v>Present</x:v>
      </x:c>
      <x:c r="D118" s="8" t="str">
        <x:v>DBM IOS 2022, PDF page 41</x:v>
      </x:c>
      <x:c r="E118" s="8" t="str"/>
      <x:c r="F118" s="8" t="str">
        <x:v>https://www.dbm.gov.ph/wp-content/uploads/OPCCB/IOS2022/4.%20VOLUME%20II.pdf#page=41</x:v>
      </x:c>
    </x:row>
    <x:row r="119" ht="30" customHeight="1">
      <x:c r="A119" s="8" t="str">
        <x:v>PLANNING OFFICER I</x:v>
      </x:c>
      <x:c r="B119" s="9" t="n">
        <x:v>11</x:v>
      </x:c>
      <x:c r="C119" s="8" t="str">
        <x:v>Present</x:v>
      </x:c>
      <x:c r="D119" s="8" t="str">
        <x:v>DBM IOS 2022, PDF page 41</x:v>
      </x:c>
      <x:c r="E119" s="8" t="str"/>
      <x:c r="F119" s="8" t="str">
        <x:v>https://www.dbm.gov.ph/wp-content/uploads/OPCCB/IOS2022/4.%20VOLUME%20II.pdf#page=41</x:v>
      </x:c>
    </x:row>
    <x:row r="120" ht="30" customHeight="1">
      <x:c r="A120" s="8" t="str">
        <x:v>PLANNING OFFICER III</x:v>
      </x:c>
      <x:c r="B120" s="9" t="n">
        <x:v>18</x:v>
      </x:c>
      <x:c r="C120" s="8" t="str">
        <x:v>Present</x:v>
      </x:c>
      <x:c r="D120" s="8" t="str">
        <x:v>DBM IOS 2022, PDF page 41</x:v>
      </x:c>
      <x:c r="E120" s="8" t="str"/>
      <x:c r="F120" s="8" t="str">
        <x:v>https://www.dbm.gov.ph/wp-content/uploads/OPCCB/IOS2022/4.%20VOLUME%20II.pdf#page=41</x:v>
      </x:c>
    </x:row>
    <x:row r="121" ht="30" customHeight="1">
      <x:c r="A121" s="8" t="str">
        <x:v>PSYCHOLOGIST II</x:v>
      </x:c>
      <x:c r="B121" s="9" t="n">
        <x:v>18</x:v>
      </x:c>
      <x:c r="C121" s="8" t="str">
        <x:v>Present</x:v>
      </x:c>
      <x:c r="D121" s="8" t="str">
        <x:v>DBM BC 2024-5, effective 1 Jan 2025</x:v>
      </x:c>
      <x:c r="E121" s="8" t="str">
        <x:v>2025 upgrade supersedes the grade in the 2022 index.</x:v>
      </x:c>
      <x:c r="F121" s="8" t="str">
        <x:v>https://www.dbm.gov.ph/index.php/management-2/3131-dbm-sec-mina-pangandaman-approves-upgrading-positions-of-government-psychologists</x:v>
      </x:c>
    </x:row>
    <x:row r="122" ht="30" customHeight="1">
      <x:c r="A122" s="8" t="str">
        <x:v>PSYCHOLOGIST III</x:v>
      </x:c>
      <x:c r="B122" s="9" t="n">
        <x:v>20</x:v>
      </x:c>
      <x:c r="C122" s="8" t="str">
        <x:v>Present</x:v>
      </x:c>
      <x:c r="D122" s="8" t="str">
        <x:v>DBM BC 2024-5, effective 1 Jan 2025</x:v>
      </x:c>
      <x:c r="E122" s="8" t="str">
        <x:v>2025 upgrade supersedes the grade in the 2022 index.</x:v>
      </x:c>
      <x:c r="F122" s="8" t="str">
        <x:v>https://www.dbm.gov.ph/index.php/management-2/3131-dbm-sec-mina-pangandaman-approves-upgrading-positions-of-government-psychologists</x:v>
      </x:c>
    </x:row>
    <x:row r="123" ht="30" customHeight="1">
      <x:c r="A123" s="8" t="str">
        <x:v>RADIOLOGIC TECHNOLOGIST I</x:v>
      </x:c>
      <x:c r="B123" s="9" t="n">
        <x:v>11</x:v>
      </x:c>
      <x:c r="C123" s="8" t="str">
        <x:v>Present</x:v>
      </x:c>
      <x:c r="D123" s="8" t="str">
        <x:v>DBM IOS 2022, PDF page 48</x:v>
      </x:c>
      <x:c r="E123" s="8" t="str"/>
      <x:c r="F123" s="8" t="str">
        <x:v>https://www.dbm.gov.ph/wp-content/uploads/OPCCB/IOS2022/4.%20VOLUME%20II.pdf#page=48</x:v>
      </x:c>
    </x:row>
    <x:row r="124" ht="30" customHeight="1">
      <x:c r="A124" s="8" t="str">
        <x:v>RADIOLOGIC TECHNOLOGIST II</x:v>
      </x:c>
      <x:c r="B124" s="9" t="n">
        <x:v>15</x:v>
      </x:c>
      <x:c r="C124" s="8" t="str">
        <x:v>Present</x:v>
      </x:c>
      <x:c r="D124" s="8" t="str">
        <x:v>DOH Amai Pakpak Medical Center, 16 Jan 2025</x:v>
      </x:c>
      <x:c r="E124" s="8" t="str"/>
      <x:c r="F124" s="8" t="str">
        <x:v>https://apmc.doh.gov.ph/publication-1st-batch-submitted-january-16-2025/</x:v>
      </x:c>
    </x:row>
    <x:row r="125" ht="30" customHeight="1">
      <x:c r="A125" s="8" t="str">
        <x:v>RADIOLOGIC TECHNOLOGIST III</x:v>
      </x:c>
      <x:c r="B125" s="9" t="n">
        <x:v>18</x:v>
      </x:c>
      <x:c r="C125" s="8" t="str">
        <x:v>Present</x:v>
      </x:c>
      <x:c r="D125" s="8" t="str">
        <x:v>DBM IOS 2022, PDF page 48</x:v>
      </x:c>
      <x:c r="E125" s="8" t="str"/>
      <x:c r="F125" s="8" t="str">
        <x:v>https://www.dbm.gov.ph/wp-content/uploads/OPCCB/IOS2022/4.%20VOLUME%20II.pdf#page=48</x:v>
      </x:c>
    </x:row>
    <x:row r="126" ht="30" customHeight="1">
      <x:c r="A126" s="8" t="str">
        <x:v>RADIOLOGIC TECHNOLOGIST IV</x:v>
      </x:c>
      <x:c r="B126" s="9" t="n">
        <x:v>20</x:v>
      </x:c>
      <x:c r="C126" s="8" t="str">
        <x:v>Present</x:v>
      </x:c>
      <x:c r="D126" s="8" t="str">
        <x:v>DBM IOS 2022, PDF page 48</x:v>
      </x:c>
      <x:c r="E126" s="8" t="str"/>
      <x:c r="F126" s="8" t="str">
        <x:v>https://www.dbm.gov.ph/wp-content/uploads/OPCCB/IOS2022/4.%20VOLUME%20II.pdf#page=48</x:v>
      </x:c>
    </x:row>
    <x:row r="127" ht="30" customHeight="1">
      <x:c r="A127" s="8" t="str">
        <x:v>RADIOLOGIC TECHNOLOGIST V</x:v>
      </x:c>
      <x:c r="B127" s="9" t="n">
        <x:v>22</x:v>
      </x:c>
      <x:c r="C127" s="8" t="str">
        <x:v>Present</x:v>
      </x:c>
      <x:c r="D127" s="8" t="str">
        <x:v>DBM IOS 2022, PDF page 48</x:v>
      </x:c>
      <x:c r="E127" s="8" t="str"/>
      <x:c r="F127" s="8" t="str">
        <x:v>https://www.dbm.gov.ph/wp-content/uploads/OPCCB/IOS2022/4.%20VOLUME%20II.pdf#page=48</x:v>
      </x:c>
    </x:row>
    <x:row r="128" ht="30" customHeight="1">
      <x:c r="A128" s="8" t="str">
        <x:v>RESPIRATORY THERAPIST I</x:v>
      </x:c>
      <x:c r="B128" s="9" t="n">
        <x:v>10</x:v>
      </x:c>
      <x:c r="C128" s="8" t="str">
        <x:v>Present</x:v>
      </x:c>
      <x:c r="D128" s="8" t="str">
        <x:v>DOH Bicol Medical Center, 6 Aug 2025</x:v>
      </x:c>
      <x:c r="E128" s="8" t="str"/>
      <x:c r="F128" s="8" t="str">
        <x:v>https://bmc.doh.gov.ph/sites/default/files/opportunities/job-vacancy/2025/BMC-Job-Vacancy-2025-08-06.pdf</x:v>
      </x:c>
    </x:row>
    <x:row r="129" ht="30" customHeight="1">
      <x:c r="A129" s="8" t="str">
        <x:v>RESPIRATORY THERAPIST II</x:v>
      </x:c>
      <x:c r="B129" s="9" t="n">
        <x:v>14</x:v>
      </x:c>
      <x:c r="C129" s="8" t="str">
        <x:v>Present</x:v>
      </x:c>
      <x:c r="D129" s="8" t="str">
        <x:v>DBM IOS 2022, PDF page 48</x:v>
      </x:c>
      <x:c r="E129" s="8" t="str"/>
      <x:c r="F129" s="8" t="str">
        <x:v>https://www.dbm.gov.ph/wp-content/uploads/OPCCB/IOS2022/4.%20VOLUME%20II.pdf#page=48</x:v>
      </x:c>
    </x:row>
    <x:row r="130" ht="30" customHeight="1">
      <x:c r="A130" s="8" t="str">
        <x:v>RESPIRATORY THERAPIST III</x:v>
      </x:c>
      <x:c r="B130" s="9" t="n">
        <x:v>17</x:v>
      </x:c>
      <x:c r="C130" s="8" t="str">
        <x:v>Present</x:v>
      </x:c>
      <x:c r="D130" s="8" t="str">
        <x:v>DBM IOS 2022, PDF page 48</x:v>
      </x:c>
      <x:c r="E130" s="8" t="str"/>
      <x:c r="F130" s="8" t="str">
        <x:v>https://www.dbm.gov.ph/wp-content/uploads/OPCCB/IOS2022/4.%20VOLUME%20II.pdf#page=48</x:v>
      </x:c>
    </x:row>
    <x:row r="131" ht="30" customHeight="1">
      <x:c r="A131" s="8" t="str">
        <x:v>SEAMSTRESS</x:v>
      </x:c>
      <x:c r="B131" s="9" t="n">
        <x:v>2</x:v>
      </x:c>
      <x:c r="C131" s="8" t="str">
        <x:v>Present</x:v>
      </x:c>
      <x:c r="D131" s="8" t="str">
        <x:v>DBM IOS 2022, PDF page 51</x:v>
      </x:c>
      <x:c r="E131" s="8" t="str"/>
      <x:c r="F131" s="8" t="str">
        <x:v>https://www.dbm.gov.ph/wp-content/uploads/OPCCB/IOS2022/4.%20VOLUME%20II.pdf#page=51</x:v>
      </x:c>
    </x:row>
    <x:row r="132" ht="30" customHeight="1">
      <x:c r="A132" s="8" t="str">
        <x:v>SECURITY GUARD I</x:v>
      </x:c>
      <x:c r="B132" s="9" t="n">
        <x:v>3</x:v>
      </x:c>
      <x:c r="C132" s="8" t="str">
        <x:v>Present</x:v>
      </x:c>
      <x:c r="D132" s="8" t="str">
        <x:v>DBM IOS 2022, PDF page 51</x:v>
      </x:c>
      <x:c r="E132" s="8" t="str"/>
      <x:c r="F132" s="8" t="str">
        <x:v>https://www.dbm.gov.ph/wp-content/uploads/OPCCB/IOS2022/4.%20VOLUME%20II.pdf#page=51</x:v>
      </x:c>
    </x:row>
    <x:row r="133" ht="30" customHeight="1">
      <x:c r="A133" s="8" t="str">
        <x:v>SECURITY GUARD II</x:v>
      </x:c>
      <x:c r="B133" s="9" t="n">
        <x:v>5</x:v>
      </x:c>
      <x:c r="C133" s="8" t="str">
        <x:v>Present</x:v>
      </x:c>
      <x:c r="D133" s="8" t="str">
        <x:v>DBM IOS 2022, PDF page 51</x:v>
      </x:c>
      <x:c r="E133" s="8" t="str"/>
      <x:c r="F133" s="8" t="str">
        <x:v>https://www.dbm.gov.ph/wp-content/uploads/OPCCB/IOS2022/4.%20VOLUME%20II.pdf#page=51</x:v>
      </x:c>
    </x:row>
    <x:row r="134" ht="30" customHeight="1">
      <x:c r="A134" s="8" t="str">
        <x:v>SENIOR HEALTH PROGRAM OFFICER</x:v>
      </x:c>
      <x:c r="B134" s="9" t="n">
        <x:v>18</x:v>
      </x:c>
      <x:c r="C134" s="8" t="str">
        <x:v>Present</x:v>
      </x:c>
      <x:c r="D134" s="8" t="str">
        <x:v>DBM IOS 2022, PDF page 52</x:v>
      </x:c>
      <x:c r="E134" s="8" t="str"/>
      <x:c r="F134" s="8" t="str">
        <x:v>https://www.dbm.gov.ph/wp-content/uploads/OPCCB/IOS2022/4.%20VOLUME%20II.pdf#page=52</x:v>
      </x:c>
    </x:row>
    <x:row r="135" ht="30" customHeight="1">
      <x:c r="A135" s="8" t="str">
        <x:v>SOCIAL WELFARE ASSISTANT</x:v>
      </x:c>
      <x:c r="B135" s="9" t="n">
        <x:v>8</x:v>
      </x:c>
      <x:c r="C135" s="8" t="str">
        <x:v>Present</x:v>
      </x:c>
      <x:c r="D135" s="8" t="str">
        <x:v>DBM IOS 2022, PDF page 53</x:v>
      </x:c>
      <x:c r="E135" s="8" t="str"/>
      <x:c r="F135" s="8" t="str">
        <x:v>https://www.dbm.gov.ph/wp-content/uploads/OPCCB/IOS2022/4.%20VOLUME%20II.pdf#page=53</x:v>
      </x:c>
    </x:row>
    <x:row r="136" ht="30" customHeight="1">
      <x:c r="A136" s="8" t="str">
        <x:v>SOCIAL WELFARE OFFICER I</x:v>
      </x:c>
      <x:c r="B136" s="9" t="n">
        <x:v>11</x:v>
      </x:c>
      <x:c r="C136" s="8" t="str">
        <x:v>Present</x:v>
      </x:c>
      <x:c r="D136" s="8" t="str">
        <x:v>DOH Bicol Medical Center, 6 Aug 2025</x:v>
      </x:c>
      <x:c r="E136" s="8" t="str"/>
      <x:c r="F136" s="8" t="str">
        <x:v>https://bmc.doh.gov.ph/sites/default/files/opportunities/job-vacancy/2025/BMC-Job-Vacancy-2025-08-06.pdf</x:v>
      </x:c>
    </x:row>
    <x:row r="137" ht="30" customHeight="1">
      <x:c r="A137" s="8" t="str">
        <x:v>SOCIAL WELFARE OFFICER II</x:v>
      </x:c>
      <x:c r="B137" s="9" t="n">
        <x:v>15</x:v>
      </x:c>
      <x:c r="C137" s="8" t="str">
        <x:v>Present</x:v>
      </x:c>
      <x:c r="D137" s="8" t="str">
        <x:v>DBM IOS 2022, PDF page 53</x:v>
      </x:c>
      <x:c r="E137" s="8" t="str"/>
      <x:c r="F137" s="8" t="str">
        <x:v>https://www.dbm.gov.ph/wp-content/uploads/OPCCB/IOS2022/4.%20VOLUME%20II.pdf#page=53</x:v>
      </x:c>
    </x:row>
    <x:row r="138" ht="30" customHeight="1">
      <x:c r="A138" s="8" t="str">
        <x:v>SOCIAL WELFARE OFFICER III</x:v>
      </x:c>
      <x:c r="B138" s="9" t="n">
        <x:v>18</x:v>
      </x:c>
      <x:c r="C138" s="8" t="str">
        <x:v>Present</x:v>
      </x:c>
      <x:c r="D138" s="8" t="str">
        <x:v>DBM IOS 2022, PDF page 53</x:v>
      </x:c>
      <x:c r="E138" s="8" t="str"/>
      <x:c r="F138" s="8" t="str">
        <x:v>https://www.dbm.gov.ph/wp-content/uploads/OPCCB/IOS2022/4.%20VOLUME%20II.pdf#page=53</x:v>
      </x:c>
    </x:row>
    <x:row r="139" ht="30" customHeight="1">
      <x:c r="A139" s="8" t="str">
        <x:v>SOCIAL WELFARE OFFICER IV</x:v>
      </x:c>
      <x:c r="B139" s="9" t="n">
        <x:v>22</x:v>
      </x:c>
      <x:c r="C139" s="8" t="str">
        <x:v>Present</x:v>
      </x:c>
      <x:c r="D139" s="8" t="str">
        <x:v>DBM IOS 2022, PDF page 53</x:v>
      </x:c>
      <x:c r="E139" s="8" t="str"/>
      <x:c r="F139" s="8" t="str">
        <x:v>https://www.dbm.gov.ph/wp-content/uploads/OPCCB/IOS2022/4.%20VOLUME%20II.pdf#page=53</x:v>
      </x:c>
    </x:row>
    <x:row r="140" ht="30" customHeight="1">
      <x:c r="A140" s="8" t="str">
        <x:v>STATISTICIAN I</x:v>
      </x:c>
      <x:c r="B140" s="9" t="n">
        <x:v>11</x:v>
      </x:c>
      <x:c r="C140" s="8" t="str">
        <x:v>Present</x:v>
      </x:c>
      <x:c r="D140" s="8" t="str">
        <x:v>DBM IOS 2022, PDF page 55</x:v>
      </x:c>
      <x:c r="E140" s="8" t="str"/>
      <x:c r="F140" s="8" t="str">
        <x:v>https://www.dbm.gov.ph/wp-content/uploads/OPCCB/IOS2022/4.%20VOLUME%20II.pdf#page=55</x:v>
      </x:c>
    </x:row>
    <x:row r="141" ht="30" customHeight="1">
      <x:c r="A141" s="8" t="str">
        <x:v>STATISTICIAN II</x:v>
      </x:c>
      <x:c r="B141" s="9" t="n">
        <x:v>15</x:v>
      </x:c>
      <x:c r="C141" s="8" t="str">
        <x:v>Present</x:v>
      </x:c>
      <x:c r="D141" s="8" t="str">
        <x:v>DBM IOS 2022, PDF page 55</x:v>
      </x:c>
      <x:c r="E141" s="8" t="str"/>
      <x:c r="F141" s="8" t="str">
        <x:v>https://www.dbm.gov.ph/wp-content/uploads/OPCCB/IOS2022/4.%20VOLUME%20II.pdf#page=55</x:v>
      </x:c>
    </x:row>
    <x:row r="142" ht="30" customHeight="1">
      <x:c r="A142" s="8" t="str">
        <x:v>STATISTICIAN III</x:v>
      </x:c>
      <x:c r="B142" s="9" t="n">
        <x:v>18</x:v>
      </x:c>
      <x:c r="C142" s="8" t="str">
        <x:v>Present</x:v>
      </x:c>
      <x:c r="D142" s="8" t="str">
        <x:v>DBM IOS 2022, PDF page 55</x:v>
      </x:c>
      <x:c r="E142" s="8" t="str"/>
      <x:c r="F142" s="8" t="str">
        <x:v>https://www.dbm.gov.ph/wp-content/uploads/OPCCB/IOS2022/4.%20VOLUME%20II.pdf#page=55</x:v>
      </x:c>
    </x:row>
    <x:row r="143" ht="30" customHeight="1">
      <x:c r="A143" s="8" t="str">
        <x:v>SUPERVISING ADMINISTRATIVE OFFICER</x:v>
      </x:c>
      <x:c r="B143" s="9" t="n">
        <x:v>22</x:v>
      </x:c>
      <x:c r="C143" s="8" t="str">
        <x:v>Present</x:v>
      </x:c>
      <x:c r="D143" s="8" t="str">
        <x:v>DBM IOS 2022, PDF page 55</x:v>
      </x:c>
      <x:c r="E143" s="8" t="str"/>
      <x:c r="F143" s="8" t="str">
        <x:v>https://www.dbm.gov.ph/wp-content/uploads/OPCCB/IOS2022/4.%20VOLUME%20II.pdf#page=55</x:v>
      </x:c>
    </x:row>
    <x:row r="144" ht="30" customHeight="1">
      <x:c r="A144" s="8" t="str">
        <x:v>SUPERVISING HEALTH PROGRAM OFFICER</x:v>
      </x:c>
      <x:c r="B144" s="9" t="n">
        <x:v>22</x:v>
      </x:c>
      <x:c r="C144" s="8" t="str">
        <x:v>Present</x:v>
      </x:c>
      <x:c r="D144" s="8" t="str">
        <x:v>DBM IOS 2022, PDF page 56</x:v>
      </x:c>
      <x:c r="E144" s="8" t="str"/>
      <x:c r="F144" s="8" t="str">
        <x:v>https://www.dbm.gov.ph/wp-content/uploads/OPCCB/IOS2022/4.%20VOLUME%20II.pdf#page=56</x:v>
      </x:c>
    </x:row>
    <x:row r="145" ht="30" customHeight="1">
      <x:c r="A145" s="8" t="str">
        <x:v>TRAINING ASSISTANT</x:v>
      </x:c>
      <x:c r="B145" s="9" t="n">
        <x:v>8</x:v>
      </x:c>
      <x:c r="C145" s="8" t="str">
        <x:v>Present</x:v>
      </x:c>
      <x:c r="D145" s="8" t="str">
        <x:v>DBM IOS 2022, PDF page 60</x:v>
      </x:c>
      <x:c r="E145" s="8" t="str"/>
      <x:c r="F145" s="8" t="str">
        <x:v>https://www.dbm.gov.ph/wp-content/uploads/OPCCB/IOS2022/4.%20VOLUME%20II.pdf#page=60</x:v>
      </x:c>
    </x:row>
    <x:row r="146" ht="30" customHeight="1">
      <x:c r="A146" s="8" t="str">
        <x:v>TRAINING SPECIALIST II</x:v>
      </x:c>
      <x:c r="B146" s="9" t="n">
        <x:v>15</x:v>
      </x:c>
      <x:c r="C146" s="8" t="str">
        <x:v>Present</x:v>
      </x:c>
      <x:c r="D146" s="8" t="str">
        <x:v>DBM IOS 2022, PDF page 60</x:v>
      </x:c>
      <x:c r="E146" s="8" t="str"/>
      <x:c r="F146" s="8" t="str">
        <x:v>https://www.dbm.gov.ph/wp-content/uploads/OPCCB/IOS2022/4.%20VOLUME%20II.pdf#page=60</x:v>
      </x:c>
    </x:row>
    <x:row r="147" ht="30" customHeight="1">
      <x:c r="A147" s="8" t="str">
        <x:v>TRAINING SPECIALIST IV</x:v>
      </x:c>
      <x:c r="B147" s="9" t="n">
        <x:v>22</x:v>
      </x:c>
      <x:c r="C147" s="8" t="str">
        <x:v>Present</x:v>
      </x:c>
      <x:c r="D147" s="8" t="str">
        <x:v>DBM IOS 2022, PDF page 60</x:v>
      </x:c>
      <x:c r="E147" s="8" t="str"/>
      <x:c r="F147" s="8" t="str">
        <x:v>https://www.dbm.gov.ph/wp-content/uploads/OPCCB/IOS2022/4.%20VOLUME%20II.pdf#page=60</x:v>
      </x:c>
    </x:row>
    <x:row r="148" ht="30" customHeight="1">
      <x:c r="A148" s="8" t="str">
        <x:v>WARD ASSISTANT</x:v>
      </x:c>
      <x:c r="B148" s="9" t="n">
        <x:v>7</x:v>
      </x:c>
      <x:c r="C148" s="8" t="str">
        <x:v>Present</x:v>
      </x:c>
      <x:c r="D148" s="8" t="str">
        <x:v>DBM IOS 2022, PDF page 63</x:v>
      </x:c>
      <x:c r="E148" s="8" t="str"/>
      <x:c r="F148" s="8" t="str">
        <x:v>https://www.dbm.gov.ph/wp-content/uploads/OPCCB/IOS2022/4.%20VOLUME%20II.pdf#page=63</x:v>
      </x:c>
    </x:row>
    <x:row r="149" ht="30" customHeight="1">
      <x:c r="A149" s="8" t="str">
        <x:v>WAREHOUSEMAN III</x:v>
      </x:c>
      <x:c r="B149" s="9" t="n">
        <x:v>11</x:v>
      </x:c>
      <x:c r="C149" s="8" t="str">
        <x:v>Present</x:v>
      </x:c>
      <x:c r="D149" s="8" t="str">
        <x:v>DBM IOS 2022, PDF page 63</x:v>
      </x:c>
      <x:c r="E149" s="8" t="str"/>
      <x:c r="F149" s="8" t="str">
        <x:v>https://www.dbm.gov.ph/wp-content/uploads/OPCCB/IOS2022/4.%20VOLUME%20II.pdf#page=63</x:v>
      </x:c>
    </x:row>
    <x:row r="150">
      <x:c r="A150" s="1"/>
      <x:c r="B150" s="1"/>
      <x:c r="C150" s="1"/>
      <x:c r="D150" s="1"/>
      <x:c r="E150" s="1"/>
      <x:c r="F150" s="1"/>
    </x:row>
  </x:sheetData>
  <x:conditionalFormatting sqref="C9:C149">
    <x:cfRule type="containsText" dxfId="2" priority="1" operator="containsText" text="Missing"/>
    <x:cfRule type="containsText" dxfId="3" priority="2" operator="containsText" text="unclear"/>
  </x:conditionalFormatting>
  <x:pageMargins left="0.7" right="0.7" top="0.75" bottom="0.75" header="0.3" footer="0.3"/>
  <x:tableParts count="1">
    <x:tablePart xmlns:r="http://schemas.openxmlformats.org/officeDocument/2006/relationships" r:id="R9f360d3e6acd4f47"/>
  </x:tableParts>
</x:worksheet>
</file>